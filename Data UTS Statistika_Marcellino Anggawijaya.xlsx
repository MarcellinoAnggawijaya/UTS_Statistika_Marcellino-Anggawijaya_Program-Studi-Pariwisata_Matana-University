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matanauniversityacid-my.sharepoint.com/personal/marcellino_anggawijaya_student_matanauniversity_ac_id/Documents/SEMESTER 4/Statistika/"/>
    </mc:Choice>
  </mc:AlternateContent>
  <xr:revisionPtr revIDLastSave="1740" documentId="8_{C996A438-523D-4DCF-8210-65E4B452AB5F}" xr6:coauthVersionLast="47" xr6:coauthVersionMax="47" xr10:uidLastSave="{2EF9CBF6-E54C-4BFC-A32F-F0C0FC5FD08F}"/>
  <bookViews>
    <workbookView xWindow="-120" yWindow="-120" windowWidth="20730" windowHeight="11160" activeTab="2" xr2:uid="{022B2B01-E4BC-4D97-B222-9DAB60F5B8FD}"/>
  </bookViews>
  <sheets>
    <sheet name="Data BPS" sheetId="1" r:id="rId1"/>
    <sheet name="Teori Peluang" sheetId="3" r:id="rId2"/>
    <sheet name="Analisis Kasus Dist Peluang"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5" l="1"/>
  <c r="B37" i="5"/>
  <c r="B34" i="5"/>
  <c r="B31" i="5"/>
  <c r="O6" i="5"/>
  <c r="B30" i="5"/>
  <c r="M6" i="5"/>
  <c r="H18" i="5"/>
  <c r="F18" i="5"/>
  <c r="D18" i="5"/>
  <c r="B18" i="5"/>
  <c r="J17" i="5"/>
  <c r="J16" i="5"/>
  <c r="J15" i="5"/>
  <c r="J14" i="5"/>
  <c r="J13" i="5"/>
  <c r="J12" i="5"/>
  <c r="J11" i="5"/>
  <c r="J10" i="5"/>
  <c r="J9" i="5"/>
  <c r="J8" i="5"/>
  <c r="J7" i="5"/>
  <c r="N6" i="5"/>
  <c r="J6" i="5"/>
  <c r="J18" i="5" s="1"/>
  <c r="B50" i="3"/>
  <c r="C39" i="3"/>
  <c r="C40" i="3"/>
  <c r="C41" i="3"/>
  <c r="C42" i="3"/>
  <c r="C43" i="3"/>
  <c r="C44" i="3"/>
  <c r="C45" i="3"/>
  <c r="C46" i="3"/>
  <c r="C47" i="3"/>
  <c r="C48" i="3"/>
  <c r="C49" i="3"/>
  <c r="C38" i="3"/>
  <c r="B39" i="3"/>
  <c r="B40" i="3"/>
  <c r="B41" i="3"/>
  <c r="B42" i="3"/>
  <c r="B43" i="3"/>
  <c r="B44" i="3"/>
  <c r="B45" i="3"/>
  <c r="B46" i="3"/>
  <c r="B47" i="3"/>
  <c r="B48" i="3"/>
  <c r="B49" i="3"/>
  <c r="B38" i="3"/>
  <c r="J9" i="1"/>
  <c r="H18" i="3"/>
  <c r="F18" i="3"/>
  <c r="D18" i="3"/>
  <c r="B18" i="3"/>
  <c r="J17" i="3"/>
  <c r="J16" i="3"/>
  <c r="J15" i="3"/>
  <c r="J14" i="3"/>
  <c r="J13" i="3"/>
  <c r="J12" i="3"/>
  <c r="J11" i="3"/>
  <c r="J10" i="3"/>
  <c r="J9" i="3"/>
  <c r="J8" i="3"/>
  <c r="J7" i="3"/>
  <c r="J6" i="3"/>
  <c r="Y7" i="1"/>
  <c r="Y8" i="1"/>
  <c r="Y9" i="1"/>
  <c r="Y10" i="1"/>
  <c r="Y11" i="1"/>
  <c r="Y12" i="1"/>
  <c r="Y13" i="1"/>
  <c r="Y14" i="1"/>
  <c r="Y15" i="1"/>
  <c r="Y16" i="1"/>
  <c r="Y17" i="1"/>
  <c r="Y6" i="1"/>
  <c r="Q9" i="1"/>
  <c r="Q8" i="1"/>
  <c r="S8" i="1"/>
  <c r="U8" i="1"/>
  <c r="S9" i="1"/>
  <c r="U9" i="1"/>
  <c r="W9" i="1"/>
  <c r="Q10" i="1"/>
  <c r="S10" i="1"/>
  <c r="U10" i="1"/>
  <c r="W10" i="1"/>
  <c r="Q11" i="1"/>
  <c r="S11" i="1"/>
  <c r="U11" i="1"/>
  <c r="Q12" i="1"/>
  <c r="S12" i="1"/>
  <c r="U12" i="1"/>
  <c r="W12" i="1"/>
  <c r="Q13" i="1"/>
  <c r="S13" i="1"/>
  <c r="U13" i="1"/>
  <c r="W13" i="1"/>
  <c r="Q14" i="1"/>
  <c r="S14" i="1"/>
  <c r="U14" i="1"/>
  <c r="W14" i="1"/>
  <c r="Q15" i="1"/>
  <c r="S15" i="1"/>
  <c r="U15" i="1"/>
  <c r="W15" i="1"/>
  <c r="Q16" i="1"/>
  <c r="S16" i="1"/>
  <c r="U16" i="1"/>
  <c r="W16" i="1"/>
  <c r="Q17" i="1"/>
  <c r="S17" i="1"/>
  <c r="U17" i="1"/>
  <c r="W17" i="1"/>
  <c r="Q7" i="1"/>
  <c r="S7" i="1"/>
  <c r="U7" i="1"/>
  <c r="W7" i="1"/>
  <c r="S6" i="1"/>
  <c r="U6" i="1"/>
  <c r="W6" i="1"/>
  <c r="Q6" i="1"/>
  <c r="O6" i="1"/>
  <c r="N6" i="1"/>
  <c r="M6" i="1"/>
  <c r="J18" i="1"/>
  <c r="D18" i="1"/>
  <c r="F18" i="1"/>
  <c r="H18" i="1"/>
  <c r="B18" i="1"/>
  <c r="J16" i="1"/>
  <c r="J14" i="1"/>
  <c r="J8" i="1"/>
  <c r="J10" i="1"/>
  <c r="J11" i="1"/>
  <c r="J12" i="1"/>
  <c r="J7" i="1"/>
  <c r="J13" i="1"/>
  <c r="J15" i="1"/>
  <c r="J17" i="1"/>
  <c r="J6" i="1"/>
  <c r="S17" i="5" l="1"/>
  <c r="Y8" i="5"/>
  <c r="Y9" i="5"/>
  <c r="Y13" i="5"/>
  <c r="Y10" i="5"/>
  <c r="Y14" i="5"/>
  <c r="Y7" i="5"/>
  <c r="Y11" i="5"/>
  <c r="Y15" i="5"/>
  <c r="Y12" i="5"/>
  <c r="Y17" i="5"/>
  <c r="U6" i="5"/>
  <c r="Q7" i="5"/>
  <c r="U8" i="5"/>
  <c r="S9" i="5"/>
  <c r="W10" i="5"/>
  <c r="S11" i="5"/>
  <c r="Q12" i="5"/>
  <c r="U13" i="5"/>
  <c r="Q14" i="5"/>
  <c r="U15" i="5"/>
  <c r="Q16" i="5"/>
  <c r="Y16" i="5"/>
  <c r="U17" i="5"/>
  <c r="W6" i="5"/>
  <c r="S7" i="5"/>
  <c r="U9" i="5"/>
  <c r="Q10" i="5"/>
  <c r="U11" i="5"/>
  <c r="S12" i="5"/>
  <c r="W13" i="5"/>
  <c r="S14" i="5"/>
  <c r="W15" i="5"/>
  <c r="S16" i="5"/>
  <c r="W17" i="5"/>
  <c r="Q6" i="5"/>
  <c r="Y6" i="5"/>
  <c r="U7" i="5"/>
  <c r="Q8" i="5"/>
  <c r="W9" i="5"/>
  <c r="S10" i="5"/>
  <c r="U12" i="5"/>
  <c r="Q13" i="5"/>
  <c r="U14" i="5"/>
  <c r="Q15" i="5"/>
  <c r="U16" i="5"/>
  <c r="Q17" i="5"/>
  <c r="S6" i="5"/>
  <c r="W7" i="5"/>
  <c r="S8" i="5"/>
  <c r="Q9" i="5"/>
  <c r="U10" i="5"/>
  <c r="Q11" i="5"/>
  <c r="W12" i="5"/>
  <c r="S13" i="5"/>
  <c r="W14" i="5"/>
  <c r="S15" i="5"/>
  <c r="W16" i="5"/>
  <c r="J18" i="3"/>
  <c r="B34" i="3" l="1"/>
  <c r="C31" i="3"/>
  <c r="C32" i="3"/>
  <c r="B33" i="3"/>
  <c r="B32" i="3"/>
  <c r="B31" i="3"/>
  <c r="C33" i="3"/>
  <c r="C34" i="3"/>
  <c r="B35" i="3" l="1"/>
</calcChain>
</file>

<file path=xl/sharedStrings.xml><?xml version="1.0" encoding="utf-8"?>
<sst xmlns="http://schemas.openxmlformats.org/spreadsheetml/2006/main" count="218" uniqueCount="56">
  <si>
    <t>Subsektor</t>
  </si>
  <si>
    <t>Generasi Z</t>
  </si>
  <si>
    <t>Jumlah (orang)</t>
  </si>
  <si>
    <t>Persentase 
(%)</t>
  </si>
  <si>
    <t>Generasi Milenial</t>
  </si>
  <si>
    <t>Generasi X</t>
  </si>
  <si>
    <t>Generasi Baby Boomer &amp; Pre Boomer</t>
  </si>
  <si>
    <t>Agen Perjalanan dan Reservasi Lainnya</t>
  </si>
  <si>
    <t>Penyediaan Jasa Kebudayaan</t>
  </si>
  <si>
    <t>Penyediaan Jasa Olahraga dan Rekreasi</t>
  </si>
  <si>
    <t>Perdagangan Barang-Barang Pariwisata</t>
  </si>
  <si>
    <t>Penyediaan Jasa Pariwisata Lainnya</t>
  </si>
  <si>
    <t>Penyediaan Jasa Akomodasi bagi Wisatawan Penyediaan Jasa Makan Minum</t>
  </si>
  <si>
    <t xml:space="preserve">Penyediaan Jasa Angkutan Rel untuk Penumpang </t>
  </si>
  <si>
    <t>Penyediaan Jasa Angkutan Darat untuk Penumpang</t>
  </si>
  <si>
    <t>Penyediaan Jasa Angkutan Air untuk Penumpang</t>
  </si>
  <si>
    <t>Penyediaan Jasa Angkutan Udara untuk Penumpang</t>
  </si>
  <si>
    <t>Penyediaan Persewaan Kendaraan</t>
  </si>
  <si>
    <t>Total</t>
  </si>
  <si>
    <t>NA</t>
  </si>
  <si>
    <t>Penyedia Jasa Makan Minum</t>
  </si>
  <si>
    <t>Sumber</t>
  </si>
  <si>
    <t>: Badan Pusat Statistik, Survei Angkatan Kerja Nasional 2021-2024</t>
  </si>
  <si>
    <t>Zscore</t>
  </si>
  <si>
    <t>Mean</t>
  </si>
  <si>
    <t>Varians</t>
  </si>
  <si>
    <t>Stdev</t>
  </si>
  <si>
    <t>Untuk Grafik Distribusi Tenaga Kerja per Subsektor Pariwisata Indonesia (2024)</t>
  </si>
  <si>
    <t>Teori Peluang</t>
  </si>
  <si>
    <t>Peluang Tenaga Kerja adalah Generasi Milenial:</t>
  </si>
  <si>
    <t>Peluang Tenaga Kerja adalah Generasi Z:</t>
  </si>
  <si>
    <t>Peluang Tenaga Kerja adalah Generasi X:</t>
  </si>
  <si>
    <t>Peluang Tenaga Kerja adalah Generasi Baby Boomer &amp; Pre Boomer:</t>
  </si>
  <si>
    <t xml:space="preserve">Rumus Manual: </t>
  </si>
  <si>
    <t>n(S) = Total seluruh tenaga kerja pariwisata (25.010.481).</t>
  </si>
  <si>
    <t>n(A)= Jumlah tenaga kerja pada kelompok/variabel yang dipilih.</t>
  </si>
  <si>
    <t>Desimal</t>
  </si>
  <si>
    <t>Persen</t>
  </si>
  <si>
    <t>Total Peluang</t>
  </si>
  <si>
    <t xml:space="preserve">Penyediaan Jasa Akomodasi bagi Wisatawan </t>
  </si>
  <si>
    <t>Penyediaan Jasa Akomodasi bagi Wisatawan</t>
  </si>
  <si>
    <t>Penyediaan Jasa Komodasi bagi Wisatawan:</t>
  </si>
  <si>
    <t>Peluang Tenaga Kerja per subsektor:</t>
  </si>
  <si>
    <t>Contoh Analisis Kelompok Studi Kasus 8:</t>
  </si>
  <si>
    <t>Mean:</t>
  </si>
  <si>
    <t>Stdev:</t>
  </si>
  <si>
    <t>Target penyerapan:</t>
  </si>
  <si>
    <t>Hasil:</t>
  </si>
  <si>
    <t>Kita hitung Zscorenya dengan rumus berikut:</t>
  </si>
  <si>
    <r>
      <t xml:space="preserve">Karena skenario kita adalah peluang untuk menyerap </t>
    </r>
    <r>
      <rPr>
        <b/>
        <sz val="11"/>
        <color theme="1"/>
        <rFont val="Arial"/>
        <family val="2"/>
      </rPr>
      <t>lebih dari</t>
    </r>
    <r>
      <rPr>
        <sz val="11"/>
        <color theme="1"/>
        <rFont val="Aptos Narrow"/>
        <family val="2"/>
        <scheme val="minor"/>
      </rPr>
      <t xml:space="preserve"> </t>
    </r>
    <r>
      <rPr>
        <sz val="11"/>
        <color theme="1"/>
        <rFont val="Arial"/>
        <family val="2"/>
      </rPr>
      <t>5</t>
    </r>
    <r>
      <rPr>
        <sz val="11"/>
        <color theme="1"/>
        <rFont val="Aptos Narrow"/>
        <family val="2"/>
        <scheme val="minor"/>
      </rPr>
      <t xml:space="preserve"> juta orang (area di sebelah kanan kurva), maka kita harus mengurangkannya dari total peluang (</t>
    </r>
    <r>
      <rPr>
        <sz val="11"/>
        <color theme="1"/>
        <rFont val="Arial"/>
        <family val="2"/>
      </rPr>
      <t>1</t>
    </r>
    <r>
      <rPr>
        <sz val="11"/>
        <color theme="1"/>
        <rFont val="Aptos Narrow"/>
        <family val="2"/>
        <scheme val="minor"/>
      </rPr>
      <t xml:space="preserve"> atau </t>
    </r>
    <r>
      <rPr>
        <sz val="11"/>
        <color theme="1"/>
        <rFont val="Arial"/>
        <family val="2"/>
      </rPr>
      <t>100%</t>
    </r>
    <r>
      <rPr>
        <sz val="11"/>
        <color theme="1"/>
        <rFont val="Aptos Narrow"/>
        <family val="2"/>
        <scheme val="minor"/>
      </rPr>
      <t>):</t>
    </r>
  </si>
  <si>
    <t>P(X&gt;5,000,000) = 1 - 0,7829</t>
  </si>
  <si>
    <t>Target 5 juta orang tersebut berada sejauh 0,782 standar deviasi di atas rata-rata industri pariwisata saat ini.</t>
  </si>
  <si>
    <r>
      <t xml:space="preserve">Setelah mendapatkan nilai </t>
    </r>
    <r>
      <rPr>
        <sz val="11"/>
        <color theme="1"/>
        <rFont val="Arial"/>
        <family val="2"/>
      </rPr>
      <t>Z = 0,7820</t>
    </r>
    <r>
      <rPr>
        <sz val="11"/>
        <color theme="1"/>
        <rFont val="Aptos Narrow"/>
        <family val="2"/>
        <scheme val="minor"/>
      </rPr>
      <t xml:space="preserve">, kita melihat tabel Distribusi Normal (atau menggunakan fungsi Excel </t>
    </r>
    <r>
      <rPr>
        <sz val="10"/>
        <color theme="1"/>
        <rFont val="Google Sans Text"/>
        <family val="2"/>
      </rPr>
      <t>NORM.S.DIST</t>
    </r>
    <r>
      <rPr>
        <sz val="11"/>
        <color theme="1"/>
        <rFont val="Aptos Narrow"/>
        <family val="2"/>
        <scheme val="minor"/>
      </rPr>
      <t>):</t>
    </r>
  </si>
  <si>
    <t>Pemerintah menargetkan setiap subsektor pariwisata mampu menyerap tenaga kerja dalam jumlah besar untuk mempercepat pemulihan ekonomi. Berdasarkan tren historis data 2024, berapakah peluang sebuah subsektor mampu menyerap lebih dari 5.000.000 tenaga kerja?</t>
  </si>
  <si>
    <r>
      <t xml:space="preserve">Peluang sebuah subsektor mencapai penyerapan di atas 5 juta orang adalah sebesar </t>
    </r>
    <r>
      <rPr>
        <b/>
        <sz val="11"/>
        <color theme="1"/>
        <rFont val="Aptos Narrow"/>
        <family val="2"/>
        <scheme val="minor"/>
      </rPr>
      <t>21,71%</t>
    </r>
    <r>
      <rPr>
        <sz val="11"/>
        <color theme="1"/>
        <rFont val="Aptos Narrow"/>
        <family val="2"/>
        <scheme val="minor"/>
      </rPr>
      <t>.</t>
    </r>
  </si>
  <si>
    <t>P(X&gt;5,000,000) = 0,2171 atau 21.71%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</si>
</sst>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0.0000"/>
  </numFmts>
  <fonts count="13">
    <font>
      <sz val="11"/>
      <color theme="1"/>
      <name val="Aptos Narrow"/>
      <family val="2"/>
      <scheme val="minor"/>
    </font>
    <font>
      <sz val="11"/>
      <color theme="1"/>
      <name val="Aptos Narrow"/>
      <family val="2"/>
      <scheme val="minor"/>
    </font>
    <font>
      <sz val="11"/>
      <color theme="0"/>
      <name val="Aptos Narrow"/>
      <family val="2"/>
      <scheme val="minor"/>
    </font>
    <font>
      <b/>
      <sz val="11"/>
      <color theme="0"/>
      <name val="Bahnschrift SemiCondensed"/>
      <family val="2"/>
    </font>
    <font>
      <b/>
      <sz val="14"/>
      <color theme="0"/>
      <name val="Bahnschrift SemiCondensed"/>
      <family val="2"/>
    </font>
    <font>
      <sz val="11"/>
      <color theme="1"/>
      <name val="Bahnschrift SemiLight"/>
      <family val="2"/>
    </font>
    <font>
      <sz val="11"/>
      <color theme="0"/>
      <name val="Bahnschrift SemiLight"/>
      <family val="2"/>
    </font>
    <font>
      <b/>
      <sz val="12"/>
      <color theme="0"/>
      <name val="Bahnschrift SemiBold Condensed"/>
      <family val="2"/>
    </font>
    <font>
      <b/>
      <sz val="11"/>
      <color theme="1"/>
      <name val="Bahnschrift SemiCondensed"/>
      <family val="2"/>
    </font>
    <font>
      <b/>
      <sz val="11"/>
      <color theme="1"/>
      <name val="Aptos Narrow"/>
      <family val="2"/>
      <scheme val="minor"/>
    </font>
    <font>
      <b/>
      <sz val="11"/>
      <color theme="1"/>
      <name val="Arial"/>
      <family val="2"/>
    </font>
    <font>
      <sz val="11"/>
      <color theme="1"/>
      <name val="Arial"/>
      <family val="2"/>
    </font>
    <font>
      <sz val="10"/>
      <color theme="1"/>
      <name val="Google Sans Text"/>
      <family val="2"/>
    </font>
  </fonts>
  <fills count="4">
    <fill>
      <patternFill patternType="none"/>
    </fill>
    <fill>
      <patternFill patternType="gray125"/>
    </fill>
    <fill>
      <patternFill patternType="solid">
        <fgColor theme="4"/>
      </patternFill>
    </fill>
    <fill>
      <patternFill patternType="solid">
        <fgColor theme="4" tint="-0.49998474074526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style="thin">
        <color theme="0"/>
      </top>
      <bottom style="thin">
        <color indexed="64"/>
      </bottom>
      <diagonal/>
    </border>
    <border>
      <left/>
      <right/>
      <top style="thin">
        <color theme="0"/>
      </top>
      <bottom/>
      <diagonal/>
    </border>
    <border>
      <left/>
      <right/>
      <top style="thin">
        <color theme="0"/>
      </top>
      <bottom style="thin">
        <color theme="0"/>
      </bottom>
      <diagonal/>
    </border>
    <border>
      <left/>
      <right style="thin">
        <color indexed="64"/>
      </right>
      <top style="thin">
        <color theme="0"/>
      </top>
      <bottom style="thin">
        <color theme="0"/>
      </bottom>
      <diagonal/>
    </border>
    <border>
      <left style="thin">
        <color theme="2" tint="-0.249977111117893"/>
      </left>
      <right/>
      <top style="thin">
        <color theme="0"/>
      </top>
      <bottom style="thin">
        <color theme="0"/>
      </bottom>
      <diagonal/>
    </border>
    <border>
      <left/>
      <right style="thin">
        <color theme="2" tint="-0.249977111117893"/>
      </right>
      <top style="thin">
        <color theme="0"/>
      </top>
      <bottom style="thin">
        <color theme="0"/>
      </bottom>
      <diagonal/>
    </border>
    <border>
      <left/>
      <right style="thin">
        <color theme="2" tint="-0.249977111117893"/>
      </right>
      <top style="thin">
        <color theme="0"/>
      </top>
      <bottom style="thin">
        <color indexed="64"/>
      </bottom>
      <diagonal/>
    </border>
    <border>
      <left style="thin">
        <color theme="2" tint="-0.249977111117893"/>
      </left>
      <right style="thin">
        <color indexed="64"/>
      </right>
      <top style="thin">
        <color theme="0"/>
      </top>
      <bottom style="thin">
        <color indexed="64"/>
      </bottom>
      <diagonal/>
    </border>
    <border>
      <left style="thin">
        <color theme="2" tint="-0.249977111117893"/>
      </left>
      <right/>
      <top style="thin">
        <color theme="0"/>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cellStyleXfs>
  <cellXfs count="68">
    <xf numFmtId="0" fontId="0" fillId="0" borderId="0" xfId="0"/>
    <xf numFmtId="0" fontId="0" fillId="0" borderId="0" xfId="0" applyAlignment="1">
      <alignment vertical="center" wrapText="1"/>
    </xf>
    <xf numFmtId="0" fontId="3" fillId="3" borderId="7"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5" fillId="0" borderId="1" xfId="0" applyFont="1" applyBorder="1" applyAlignment="1">
      <alignment vertical="center" wrapText="1"/>
    </xf>
    <xf numFmtId="3" fontId="5" fillId="0" borderId="1" xfId="0" applyNumberFormat="1" applyFont="1" applyBorder="1"/>
    <xf numFmtId="43" fontId="5" fillId="0" borderId="1" xfId="1" applyFont="1" applyBorder="1"/>
    <xf numFmtId="43" fontId="5" fillId="0" borderId="1" xfId="0" applyNumberFormat="1" applyFont="1" applyBorder="1"/>
    <xf numFmtId="2" fontId="5" fillId="0" borderId="1" xfId="2" applyNumberFormat="1" applyFont="1" applyBorder="1"/>
    <xf numFmtId="4" fontId="5" fillId="0" borderId="1" xfId="0" applyNumberFormat="1" applyFont="1" applyBorder="1"/>
    <xf numFmtId="3" fontId="5" fillId="0" borderId="1" xfId="0" applyNumberFormat="1" applyFont="1" applyBorder="1" applyAlignment="1">
      <alignment horizontal="right"/>
    </xf>
    <xf numFmtId="43" fontId="5" fillId="0" borderId="1" xfId="0" applyNumberFormat="1" applyFont="1" applyBorder="1" applyAlignment="1">
      <alignment horizontal="right"/>
    </xf>
    <xf numFmtId="3" fontId="6" fillId="3" borderId="1" xfId="3" applyNumberFormat="1" applyFont="1" applyFill="1" applyBorder="1"/>
    <xf numFmtId="43" fontId="6" fillId="3" borderId="1" xfId="3" applyNumberFormat="1" applyFont="1" applyFill="1" applyBorder="1"/>
    <xf numFmtId="4" fontId="6" fillId="3" borderId="1" xfId="3" applyNumberFormat="1" applyFont="1" applyFill="1" applyBorder="1"/>
    <xf numFmtId="0" fontId="5" fillId="0" borderId="1" xfId="0" applyFont="1" applyBorder="1"/>
    <xf numFmtId="0" fontId="3" fillId="3" borderId="1" xfId="0" applyFont="1" applyFill="1" applyBorder="1" applyAlignment="1">
      <alignment horizontal="center" vertical="center" wrapText="1"/>
    </xf>
    <xf numFmtId="3" fontId="5" fillId="0" borderId="0" xfId="0" applyNumberFormat="1" applyFont="1"/>
    <xf numFmtId="0" fontId="5" fillId="0" borderId="0" xfId="0" applyFont="1"/>
    <xf numFmtId="2" fontId="0" fillId="0" borderId="1" xfId="0" applyNumberFormat="1" applyBorder="1"/>
    <xf numFmtId="0" fontId="2" fillId="0" borderId="0" xfId="0" applyFont="1" applyAlignment="1">
      <alignment vertical="center" wrapText="1"/>
    </xf>
    <xf numFmtId="0" fontId="2" fillId="0" borderId="0" xfId="0" applyFont="1"/>
    <xf numFmtId="0" fontId="6" fillId="0" borderId="0" xfId="0" applyFont="1" applyAlignment="1">
      <alignment vertical="center" wrapText="1"/>
    </xf>
    <xf numFmtId="3" fontId="6" fillId="0" borderId="0" xfId="0" applyNumberFormat="1" applyFont="1"/>
    <xf numFmtId="0" fontId="7" fillId="3" borderId="1" xfId="3" applyFont="1" applyFill="1" applyBorder="1" applyAlignment="1">
      <alignment horizontal="right" vertical="center" wrapText="1"/>
    </xf>
    <xf numFmtId="10" fontId="2" fillId="0" borderId="0" xfId="2" applyNumberFormat="1" applyFont="1" applyBorder="1"/>
    <xf numFmtId="10" fontId="2" fillId="0" borderId="0" xfId="0" applyNumberFormat="1" applyFont="1"/>
    <xf numFmtId="0" fontId="8" fillId="0" borderId="0" xfId="0" applyFont="1" applyAlignment="1">
      <alignment vertical="center" wrapText="1"/>
    </xf>
    <xf numFmtId="0" fontId="5" fillId="0" borderId="0" xfId="0" applyFont="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horizontal="center"/>
    </xf>
    <xf numFmtId="164" fontId="5" fillId="0" borderId="1" xfId="0" applyNumberFormat="1" applyFont="1" applyBorder="1" applyAlignment="1">
      <alignment horizontal="right"/>
    </xf>
    <xf numFmtId="10" fontId="5" fillId="0" borderId="1" xfId="2" applyNumberFormat="1" applyFont="1" applyBorder="1" applyAlignment="1">
      <alignment horizontal="right"/>
    </xf>
    <xf numFmtId="0" fontId="5" fillId="0" borderId="1" xfId="0" applyFont="1" applyBorder="1" applyAlignment="1">
      <alignment wrapText="1"/>
    </xf>
    <xf numFmtId="0" fontId="5" fillId="0" borderId="1" xfId="0" applyFont="1" applyBorder="1" applyAlignment="1">
      <alignment horizontal="right" vertical="center" wrapText="1"/>
    </xf>
    <xf numFmtId="164" fontId="5" fillId="0" borderId="1" xfId="0" applyNumberFormat="1" applyFont="1" applyBorder="1"/>
    <xf numFmtId="10" fontId="5" fillId="0" borderId="1" xfId="2" applyNumberFormat="1" applyFont="1" applyBorder="1"/>
    <xf numFmtId="3" fontId="0" fillId="0" borderId="0" xfId="0" applyNumberFormat="1" applyAlignment="1">
      <alignment vertical="center" wrapText="1"/>
    </xf>
    <xf numFmtId="3" fontId="0" fillId="0" borderId="0" xfId="0" applyNumberFormat="1"/>
    <xf numFmtId="3" fontId="0" fillId="0" borderId="0" xfId="0" applyNumberFormat="1" applyAlignment="1">
      <alignment vertical="center"/>
    </xf>
    <xf numFmtId="0" fontId="0" fillId="0" borderId="0" xfId="0" applyAlignment="1">
      <alignment wrapText="1"/>
    </xf>
    <xf numFmtId="3" fontId="0" fillId="0" borderId="0" xfId="0" applyNumberFormat="1" applyAlignment="1">
      <alignment horizontal="right" vertical="center" wrapText="1"/>
    </xf>
    <xf numFmtId="165" fontId="0" fillId="0" borderId="0" xfId="0" applyNumberFormat="1"/>
    <xf numFmtId="164" fontId="0" fillId="0" borderId="0" xfId="0" applyNumberFormat="1" applyAlignment="1">
      <alignment vertical="center" wrapText="1"/>
    </xf>
    <xf numFmtId="10" fontId="0" fillId="0" borderId="0" xfId="2" applyNumberFormat="1" applyFont="1" applyAlignment="1">
      <alignment vertical="center" wrapText="1"/>
    </xf>
    <xf numFmtId="2" fontId="5" fillId="0" borderId="1" xfId="0" applyNumberFormat="1" applyFont="1" applyBorder="1" applyAlignment="1">
      <alignment horizontal="center"/>
    </xf>
    <xf numFmtId="0" fontId="0" fillId="0" borderId="5" xfId="0" applyBorder="1" applyAlignment="1">
      <alignment horizontal="left"/>
    </xf>
    <xf numFmtId="0" fontId="0" fillId="0" borderId="0" xfId="0" applyAlignment="1">
      <alignment horizontal="center"/>
    </xf>
    <xf numFmtId="0" fontId="4" fillId="3" borderId="17"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3" borderId="5" xfId="0" applyFont="1" applyFill="1" applyBorder="1" applyAlignment="1">
      <alignment horizontal="center" vertical="center"/>
    </xf>
    <xf numFmtId="0" fontId="4" fillId="3" borderId="3"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11"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10" fontId="5" fillId="0" borderId="18" xfId="0" applyNumberFormat="1" applyFont="1" applyBorder="1" applyAlignment="1">
      <alignment horizontal="center"/>
    </xf>
    <xf numFmtId="10" fontId="5" fillId="0" borderId="16" xfId="0" applyNumberFormat="1" applyFont="1" applyBorder="1" applyAlignment="1">
      <alignment horizontal="center"/>
    </xf>
    <xf numFmtId="0" fontId="0" fillId="0" borderId="0" xfId="0" applyAlignment="1">
      <alignment horizontal="center" vertical="center" wrapText="1"/>
    </xf>
  </cellXfs>
  <cellStyles count="4">
    <cellStyle name="Accent1" xfId="3" builtinId="29"/>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Condensed" panose="020B0502040204020203" pitchFamily="34" charset="0"/>
                <a:ea typeface="+mn-ea"/>
                <a:cs typeface="+mn-cs"/>
              </a:defRPr>
            </a:pPr>
            <a:r>
              <a:rPr lang="id-ID" sz="1400" b="0" i="0" u="none" strike="noStrike" baseline="0">
                <a:latin typeface="Bahnschrift SemiCondensed" panose="020B0502040204020203" pitchFamily="34" charset="0"/>
              </a:rPr>
              <a:t>Distribusi Tenaga Kerja per Subsektor Pariwisata Indonesia (2024)</a:t>
            </a:r>
            <a:endParaRPr lang="id-ID">
              <a:latin typeface="Bahnschrift Semi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Condensed" panose="020B0502040204020203" pitchFamily="34" charset="0"/>
              <a:ea typeface="+mn-ea"/>
              <a:cs typeface="+mn-cs"/>
            </a:defRPr>
          </a:pPr>
          <a:endParaRPr lang="id-ID"/>
        </a:p>
      </c:txPr>
    </c:title>
    <c:autoTitleDeleted val="0"/>
    <c:plotArea>
      <c:layout/>
      <c:barChart>
        <c:barDir val="bar"/>
        <c:grouping val="clustered"/>
        <c:varyColors val="0"/>
        <c:ser>
          <c:idx val="0"/>
          <c:order val="0"/>
          <c:spPr>
            <a:solidFill>
              <a:schemeClr val="accent1"/>
            </a:solidFill>
            <a:ln>
              <a:noFill/>
            </a:ln>
            <a:effectLst/>
          </c:spPr>
          <c:invertIfNegative val="0"/>
          <c:dLbls>
            <c:delete val="1"/>
          </c:dLbls>
          <c:cat>
            <c:strRef>
              <c:f>'Data BPS'!$A$30:$A$41</c:f>
              <c:strCache>
                <c:ptCount val="12"/>
                <c:pt idx="0">
                  <c:v>Penyediaan Jasa Angkutan Rel untuk Penumpang </c:v>
                </c:pt>
                <c:pt idx="1">
                  <c:v>Penyediaan Jasa Angkutan Udara untuk Penumpang</c:v>
                </c:pt>
                <c:pt idx="2">
                  <c:v>Penyediaan Persewaan Kendaraan</c:v>
                </c:pt>
                <c:pt idx="3">
                  <c:v>Penyediaan Jasa Angkutan Air untuk Penumpang</c:v>
                </c:pt>
                <c:pt idx="4">
                  <c:v>Agen Perjalanan dan Reservasi Lainnya</c:v>
                </c:pt>
                <c:pt idx="5">
                  <c:v>Penyediaan Jasa Olahraga dan Rekreasi</c:v>
                </c:pt>
                <c:pt idx="6">
                  <c:v>Penyediaan Jasa Kebudayaan</c:v>
                </c:pt>
                <c:pt idx="7">
                  <c:v>Penyediaan Jasa Pariwisata Lainnya</c:v>
                </c:pt>
                <c:pt idx="8">
                  <c:v>Penyediaan Jasa Akomodasi bagi Wisatawan</c:v>
                </c:pt>
                <c:pt idx="9">
                  <c:v>Penyediaan Jasa Angkutan Darat untuk Penumpang</c:v>
                </c:pt>
                <c:pt idx="10">
                  <c:v>Perdagangan Barang-Barang Pariwisata</c:v>
                </c:pt>
                <c:pt idx="11">
                  <c:v>Penyedia Jasa Makan Minum</c:v>
                </c:pt>
              </c:strCache>
            </c:strRef>
          </c:cat>
          <c:val>
            <c:numRef>
              <c:f>'Data BPS'!$B$30:$B$41</c:f>
              <c:numCache>
                <c:formatCode>#,##0</c:formatCode>
                <c:ptCount val="12"/>
                <c:pt idx="0">
                  <c:v>23712</c:v>
                </c:pt>
                <c:pt idx="1">
                  <c:v>28650</c:v>
                </c:pt>
                <c:pt idx="2">
                  <c:v>72557</c:v>
                </c:pt>
                <c:pt idx="3">
                  <c:v>110147</c:v>
                </c:pt>
                <c:pt idx="4">
                  <c:v>114128</c:v>
                </c:pt>
                <c:pt idx="5">
                  <c:v>283473</c:v>
                </c:pt>
                <c:pt idx="6">
                  <c:v>314580</c:v>
                </c:pt>
                <c:pt idx="7">
                  <c:v>462989</c:v>
                </c:pt>
                <c:pt idx="8">
                  <c:v>1405275</c:v>
                </c:pt>
                <c:pt idx="9">
                  <c:v>2342003</c:v>
                </c:pt>
                <c:pt idx="10">
                  <c:v>9688606</c:v>
                </c:pt>
                <c:pt idx="11">
                  <c:v>10164361</c:v>
                </c:pt>
              </c:numCache>
            </c:numRef>
          </c:val>
          <c:extLst>
            <c:ext xmlns:c16="http://schemas.microsoft.com/office/drawing/2014/chart" uri="{C3380CC4-5D6E-409C-BE32-E72D297353CC}">
              <c16:uniqueId val="{00000000-04F8-449D-818D-2C9FC8702A54}"/>
            </c:ext>
          </c:extLst>
        </c:ser>
        <c:dLbls>
          <c:dLblPos val="outEnd"/>
          <c:showLegendKey val="0"/>
          <c:showVal val="1"/>
          <c:showCatName val="0"/>
          <c:showSerName val="0"/>
          <c:showPercent val="0"/>
          <c:showBubbleSize val="0"/>
        </c:dLbls>
        <c:gapWidth val="182"/>
        <c:axId val="1120646287"/>
        <c:axId val="1120645327"/>
      </c:barChart>
      <c:catAx>
        <c:axId val="1120646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Light" panose="020B0502040204020203" pitchFamily="34" charset="0"/>
                <a:ea typeface="+mn-ea"/>
                <a:cs typeface="+mn-cs"/>
              </a:defRPr>
            </a:pPr>
            <a:endParaRPr lang="id-ID"/>
          </a:p>
        </c:txPr>
        <c:crossAx val="1120645327"/>
        <c:crosses val="autoZero"/>
        <c:auto val="1"/>
        <c:lblAlgn val="ctr"/>
        <c:lblOffset val="100"/>
        <c:noMultiLvlLbl val="0"/>
      </c:catAx>
      <c:valAx>
        <c:axId val="11206453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120646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Condensed" panose="020B0502040204020203" pitchFamily="34" charset="0"/>
                <a:ea typeface="+mn-ea"/>
                <a:cs typeface="+mn-cs"/>
              </a:defRPr>
            </a:pPr>
            <a:r>
              <a:rPr lang="en-US">
                <a:latin typeface="Bahnschrift SemiCondensed" panose="020B0502040204020203" pitchFamily="34" charset="0"/>
              </a:rPr>
              <a:t>Probabilitas Tenaga Kerja Pariwisata Berdasarkan Generasi (2024)</a:t>
            </a:r>
            <a:endParaRPr lang="id-ID">
              <a:latin typeface="Bahnschrift SemiCondense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Condensed" panose="020B0502040204020203" pitchFamily="34" charset="0"/>
              <a:ea typeface="+mn-ea"/>
              <a:cs typeface="+mn-cs"/>
            </a:defRPr>
          </a:pPr>
          <a:endParaRPr lang="id-ID"/>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696-4288-B3CE-7318E48ACA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96-4288-B3CE-7318E48ACA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696-4288-B3CE-7318E48ACA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E696-4288-B3CE-7318E48ACAAA}"/>
              </c:ext>
            </c:extLst>
          </c:dPt>
          <c:dLbls>
            <c:dLbl>
              <c:idx val="0"/>
              <c:layout>
                <c:manualLayout>
                  <c:x val="5.0184492772203673E-2"/>
                  <c:y val="-4.629629629629651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96-4288-B3CE-7318E48ACAAA}"/>
                </c:ext>
              </c:extLst>
            </c:dLbl>
            <c:dLbl>
              <c:idx val="1"/>
              <c:layout>
                <c:manualLayout>
                  <c:x val="3.6244355891035987E-2"/>
                  <c:y val="-2.314814814814814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96-4288-B3CE-7318E48ACAAA}"/>
                </c:ext>
              </c:extLst>
            </c:dLbl>
            <c:dLbl>
              <c:idx val="2"/>
              <c:layout>
                <c:manualLayout>
                  <c:x val="-3.0668301138568912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96-4288-B3CE-7318E48ACAAA}"/>
                </c:ext>
              </c:extLst>
            </c:dLbl>
            <c:dLbl>
              <c:idx val="3"/>
              <c:layout>
                <c:manualLayout>
                  <c:x val="2.9175499078852806E-3"/>
                  <c:y val="-1.851851851851851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96-4288-B3CE-7318E48ACA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s>
          <c:cat>
            <c:strRef>
              <c:f>'Teori Peluang'!$A$31:$A$34</c:f>
              <c:strCache>
                <c:ptCount val="4"/>
                <c:pt idx="0">
                  <c:v>Peluang Tenaga Kerja adalah Generasi Z:</c:v>
                </c:pt>
                <c:pt idx="1">
                  <c:v>Peluang Tenaga Kerja adalah Generasi Milenial:</c:v>
                </c:pt>
                <c:pt idx="2">
                  <c:v>Peluang Tenaga Kerja adalah Generasi X:</c:v>
                </c:pt>
                <c:pt idx="3">
                  <c:v>Peluang Tenaga Kerja adalah Generasi Baby Boomer &amp; Pre Boomer:</c:v>
                </c:pt>
              </c:strCache>
            </c:strRef>
          </c:cat>
          <c:val>
            <c:numRef>
              <c:f>'Teori Peluang'!$C$31:$C$34</c:f>
              <c:numCache>
                <c:formatCode>0.00%</c:formatCode>
                <c:ptCount val="4"/>
                <c:pt idx="0">
                  <c:v>0.23122634066893796</c:v>
                </c:pt>
                <c:pt idx="1">
                  <c:v>0.34837410763911336</c:v>
                </c:pt>
                <c:pt idx="2">
                  <c:v>0.30471173265320245</c:v>
                </c:pt>
                <c:pt idx="3">
                  <c:v>0.1156878190387462</c:v>
                </c:pt>
              </c:numCache>
            </c:numRef>
          </c:val>
          <c:extLst>
            <c:ext xmlns:c16="http://schemas.microsoft.com/office/drawing/2014/chart" uri="{C3380CC4-5D6E-409C-BE32-E72D297353CC}">
              <c16:uniqueId val="{00000000-E696-4288-B3CE-7318E48ACAA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SemiLight" panose="020B0502040204020203" pitchFamily="34" charset="0"/>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Condensed" panose="020B0502040204020203" pitchFamily="34" charset="0"/>
                <a:ea typeface="+mn-ea"/>
                <a:cs typeface="+mn-cs"/>
              </a:defRPr>
            </a:pPr>
            <a:r>
              <a:rPr lang="id-ID" sz="1400" b="0" i="0" u="none" strike="noStrike" kern="1200" spc="0" baseline="0">
                <a:solidFill>
                  <a:sysClr val="windowText" lastClr="000000">
                    <a:lumMod val="65000"/>
                    <a:lumOff val="35000"/>
                  </a:sysClr>
                </a:solidFill>
                <a:latin typeface="Bahnschrift SemiCondensed" panose="020B0502040204020203" pitchFamily="34" charset="0"/>
              </a:rPr>
              <a:t>Distribusi Tenaga Kerja per Subsektor Pariwisata Indonesia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Condensed" panose="020B0502040204020203" pitchFamily="34" charset="0"/>
              <a:ea typeface="+mn-ea"/>
              <a:cs typeface="+mn-cs"/>
            </a:defRPr>
          </a:pPr>
          <a:endParaRPr lang="id-ID"/>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'Teori Peluang'!$N$6:$N$17</c:f>
              <c:strCache>
                <c:ptCount val="12"/>
                <c:pt idx="0">
                  <c:v>Penyediaan Jasa Angkutan Rel untuk Penumpang </c:v>
                </c:pt>
                <c:pt idx="1">
                  <c:v>Penyediaan Jasa Angkutan Udara untuk Penumpang</c:v>
                </c:pt>
                <c:pt idx="2">
                  <c:v>Penyediaan Persewaan Kendaraan</c:v>
                </c:pt>
                <c:pt idx="3">
                  <c:v>Penyediaan Jasa Angkutan Air untuk Penumpang</c:v>
                </c:pt>
                <c:pt idx="4">
                  <c:v>Agen Perjalanan dan Reservasi Lainnya</c:v>
                </c:pt>
                <c:pt idx="5">
                  <c:v>Penyediaan Jasa Olahraga dan Rekreasi</c:v>
                </c:pt>
                <c:pt idx="6">
                  <c:v>Penyediaan Jasa Kebudayaan</c:v>
                </c:pt>
                <c:pt idx="7">
                  <c:v>Penyediaan Jasa Pariwisata Lainnya</c:v>
                </c:pt>
                <c:pt idx="8">
                  <c:v>Penyediaan Jasa Akomodasi bagi Wisatawan</c:v>
                </c:pt>
                <c:pt idx="9">
                  <c:v>Penyediaan Jasa Angkutan Darat untuk Penumpang</c:v>
                </c:pt>
                <c:pt idx="10">
                  <c:v>Perdagangan Barang-Barang Pariwisata</c:v>
                </c:pt>
                <c:pt idx="11">
                  <c:v>Penyedia Jasa Makan Minum</c:v>
                </c:pt>
              </c:strCache>
            </c:strRef>
          </c:cat>
          <c:val>
            <c:numRef>
              <c:f>'Teori Peluang'!$O$6:$O$17</c:f>
              <c:numCache>
                <c:formatCode>0.00%</c:formatCode>
                <c:ptCount val="12"/>
                <c:pt idx="0">
                  <c:v>8.9999999999999998E-4</c:v>
                </c:pt>
                <c:pt idx="1">
                  <c:v>1.1000000000000001E-3</c:v>
                </c:pt>
                <c:pt idx="2">
                  <c:v>2.8999999999999998E-3</c:v>
                </c:pt>
                <c:pt idx="3">
                  <c:v>4.4000000000000003E-3</c:v>
                </c:pt>
                <c:pt idx="4">
                  <c:v>4.5999999999999999E-3</c:v>
                </c:pt>
                <c:pt idx="5">
                  <c:v>1.1299999999999999E-2</c:v>
                </c:pt>
                <c:pt idx="6">
                  <c:v>1.26E-2</c:v>
                </c:pt>
                <c:pt idx="7">
                  <c:v>1.8500000000000003E-2</c:v>
                </c:pt>
                <c:pt idx="8">
                  <c:v>5.62E-2</c:v>
                </c:pt>
                <c:pt idx="9">
                  <c:v>9.3599999999999989E-2</c:v>
                </c:pt>
                <c:pt idx="10">
                  <c:v>0.38740000000000002</c:v>
                </c:pt>
                <c:pt idx="11">
                  <c:v>0.40639999999999998</c:v>
                </c:pt>
              </c:numCache>
            </c:numRef>
          </c:val>
          <c:extLst>
            <c:ext xmlns:c16="http://schemas.microsoft.com/office/drawing/2014/chart" uri="{C3380CC4-5D6E-409C-BE32-E72D297353CC}">
              <c16:uniqueId val="{00000000-02A6-4274-8100-14CC8BE6C227}"/>
            </c:ext>
          </c:extLst>
        </c:ser>
        <c:dLbls>
          <c:dLblPos val="outEnd"/>
          <c:showLegendKey val="0"/>
          <c:showVal val="1"/>
          <c:showCatName val="0"/>
          <c:showSerName val="0"/>
          <c:showPercent val="0"/>
          <c:showBubbleSize val="0"/>
        </c:dLbls>
        <c:gapWidth val="219"/>
        <c:overlap val="-27"/>
        <c:axId val="285600351"/>
        <c:axId val="285604191"/>
      </c:barChart>
      <c:catAx>
        <c:axId val="285600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Light" panose="020B0502040204020203" pitchFamily="34" charset="0"/>
                <a:ea typeface="+mn-ea"/>
                <a:cs typeface="+mn-cs"/>
              </a:defRPr>
            </a:pPr>
            <a:endParaRPr lang="id-ID"/>
          </a:p>
        </c:txPr>
        <c:crossAx val="285604191"/>
        <c:crosses val="autoZero"/>
        <c:auto val="1"/>
        <c:lblAlgn val="ctr"/>
        <c:lblOffset val="100"/>
        <c:noMultiLvlLbl val="0"/>
      </c:catAx>
      <c:valAx>
        <c:axId val="285604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285600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15</xdr:col>
      <xdr:colOff>16329</xdr:colOff>
      <xdr:row>18</xdr:row>
      <xdr:rowOff>190499</xdr:rowOff>
    </xdr:from>
    <xdr:to>
      <xdr:col>21</xdr:col>
      <xdr:colOff>282350</xdr:colOff>
      <xdr:row>40</xdr:row>
      <xdr:rowOff>190498</xdr:rowOff>
    </xdr:to>
    <xdr:graphicFrame macro="">
      <xdr:nvGraphicFramePr>
        <xdr:cNvPr id="5" name="Chart 4">
          <a:extLst>
            <a:ext uri="{FF2B5EF4-FFF2-40B4-BE49-F238E27FC236}">
              <a16:creationId xmlns:a16="http://schemas.microsoft.com/office/drawing/2014/main" id="{BE798250-F363-A680-0A50-B8762CE17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1024759</xdr:colOff>
      <xdr:row>22</xdr:row>
      <xdr:rowOff>85397</xdr:rowOff>
    </xdr:from>
    <xdr:to>
      <xdr:col>0</xdr:col>
      <xdr:colOff>1864601</xdr:colOff>
      <xdr:row>24</xdr:row>
      <xdr:rowOff>113972</xdr:rowOff>
    </xdr:to>
    <xdr:pic>
      <xdr:nvPicPr>
        <xdr:cNvPr id="3" name="Picture 2">
          <a:extLst>
            <a:ext uri="{FF2B5EF4-FFF2-40B4-BE49-F238E27FC236}">
              <a16:creationId xmlns:a16="http://schemas.microsoft.com/office/drawing/2014/main" id="{D32BC607-A67D-6C32-2698-985783CD9A5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4759" y="8027276"/>
          <a:ext cx="839842"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713424</xdr:colOff>
      <xdr:row>21</xdr:row>
      <xdr:rowOff>177913</xdr:rowOff>
    </xdr:from>
    <xdr:to>
      <xdr:col>10</xdr:col>
      <xdr:colOff>100854</xdr:colOff>
      <xdr:row>35</xdr:row>
      <xdr:rowOff>0</xdr:rowOff>
    </xdr:to>
    <xdr:graphicFrame macro="">
      <xdr:nvGraphicFramePr>
        <xdr:cNvPr id="4" name="Chart 3">
          <a:extLst>
            <a:ext uri="{FF2B5EF4-FFF2-40B4-BE49-F238E27FC236}">
              <a16:creationId xmlns:a16="http://schemas.microsoft.com/office/drawing/2014/main" id="{EFB02E59-522C-DC2A-2882-B72A4E3DC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36</xdr:row>
      <xdr:rowOff>0</xdr:rowOff>
    </xdr:from>
    <xdr:to>
      <xdr:col>14</xdr:col>
      <xdr:colOff>80682</xdr:colOff>
      <xdr:row>59</xdr:row>
      <xdr:rowOff>32600</xdr:rowOff>
    </xdr:to>
    <xdr:graphicFrame macro="">
      <xdr:nvGraphicFramePr>
        <xdr:cNvPr id="2" name="Chart 1">
          <a:extLst>
            <a:ext uri="{FF2B5EF4-FFF2-40B4-BE49-F238E27FC236}">
              <a16:creationId xmlns:a16="http://schemas.microsoft.com/office/drawing/2014/main" id="{08E24CF1-017F-4229-BB2F-E5B47420F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1057275</xdr:colOff>
      <xdr:row>26</xdr:row>
      <xdr:rowOff>57150</xdr:rowOff>
    </xdr:from>
    <xdr:to>
      <xdr:col>0</xdr:col>
      <xdr:colOff>1685925</xdr:colOff>
      <xdr:row>28</xdr:row>
      <xdr:rowOff>19050</xdr:rowOff>
    </xdr:to>
    <xdr:pic>
      <xdr:nvPicPr>
        <xdr:cNvPr id="6" name="Picture 5">
          <a:extLst>
            <a:ext uri="{FF2B5EF4-FFF2-40B4-BE49-F238E27FC236}">
              <a16:creationId xmlns:a16="http://schemas.microsoft.com/office/drawing/2014/main" id="{902B079F-031A-BE92-5690-4AA7F6FBD33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7275" y="9144000"/>
          <a:ext cx="6286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3402</xdr:colOff>
      <xdr:row>38</xdr:row>
      <xdr:rowOff>3402</xdr:rowOff>
    </xdr:from>
    <xdr:to>
      <xdr:col>8</xdr:col>
      <xdr:colOff>158327</xdr:colOff>
      <xdr:row>51</xdr:row>
      <xdr:rowOff>134360</xdr:rowOff>
    </xdr:to>
    <xdr:pic>
      <xdr:nvPicPr>
        <xdr:cNvPr id="8" name="Picture 7">
          <a:extLst>
            <a:ext uri="{FF2B5EF4-FFF2-40B4-BE49-F238E27FC236}">
              <a16:creationId xmlns:a16="http://schemas.microsoft.com/office/drawing/2014/main" id="{69E4ACE0-B42E-6191-7D32-B464B414E7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89527" y="11742965"/>
          <a:ext cx="5155550" cy="33694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67321-7E72-4358-86D5-DFA4DED07D80}">
  <dimension ref="A3:Y42"/>
  <sheetViews>
    <sheetView topLeftCell="A23" zoomScale="55" zoomScaleNormal="55" workbookViewId="0">
      <selection activeCell="I25" sqref="I25"/>
    </sheetView>
  </sheetViews>
  <sheetFormatPr defaultRowHeight="15"/>
  <cols>
    <col min="1" max="1" width="49.140625" style="1" customWidth="1"/>
    <col min="2" max="9" width="10.7109375" customWidth="1"/>
    <col min="10" max="11" width="12.5703125" customWidth="1"/>
    <col min="13" max="13" width="13.85546875" customWidth="1"/>
    <col min="14" max="14" width="12.5703125" customWidth="1"/>
    <col min="15" max="15" width="17.85546875" customWidth="1"/>
    <col min="16" max="16" width="43.5703125" style="1" customWidth="1"/>
    <col min="17" max="17" width="12" customWidth="1"/>
    <col min="18" max="18" width="11.140625" customWidth="1"/>
    <col min="19" max="19" width="12.42578125" customWidth="1"/>
    <col min="20" max="21" width="11.42578125" customWidth="1"/>
    <col min="23" max="23" width="11.85546875" customWidth="1"/>
    <col min="24" max="24" width="16.140625" customWidth="1"/>
    <col min="25" max="25" width="13.28515625" customWidth="1"/>
  </cols>
  <sheetData>
    <row r="3" spans="1:25" ht="30" customHeight="1">
      <c r="A3" s="53" t="s">
        <v>0</v>
      </c>
      <c r="B3" s="56">
        <v>2024</v>
      </c>
      <c r="C3" s="56"/>
      <c r="D3" s="56"/>
      <c r="E3" s="56"/>
      <c r="F3" s="56"/>
      <c r="G3" s="56"/>
      <c r="H3" s="56"/>
      <c r="I3" s="56"/>
      <c r="J3" s="56"/>
      <c r="K3" s="57"/>
      <c r="P3"/>
    </row>
    <row r="4" spans="1:25" ht="47.25" customHeight="1">
      <c r="A4" s="54"/>
      <c r="B4" s="58" t="s">
        <v>1</v>
      </c>
      <c r="C4" s="58"/>
      <c r="D4" s="59" t="s">
        <v>4</v>
      </c>
      <c r="E4" s="60"/>
      <c r="F4" s="61" t="s">
        <v>5</v>
      </c>
      <c r="G4" s="61"/>
      <c r="H4" s="62" t="s">
        <v>6</v>
      </c>
      <c r="I4" s="63"/>
      <c r="J4" s="62" t="s">
        <v>18</v>
      </c>
      <c r="K4" s="64"/>
      <c r="P4" s="50" t="s">
        <v>23</v>
      </c>
      <c r="Q4" s="50"/>
      <c r="R4" s="50"/>
      <c r="S4" s="50"/>
      <c r="T4" s="50"/>
      <c r="U4" s="50"/>
      <c r="V4" s="50"/>
      <c r="W4" s="50"/>
      <c r="X4" s="50"/>
      <c r="Y4" s="50"/>
    </row>
    <row r="5" spans="1:25" ht="33.75" customHeight="1">
      <c r="A5" s="55"/>
      <c r="B5" s="2" t="s">
        <v>2</v>
      </c>
      <c r="C5" s="2" t="s">
        <v>3</v>
      </c>
      <c r="D5" s="5" t="s">
        <v>2</v>
      </c>
      <c r="E5" s="3" t="s">
        <v>3</v>
      </c>
      <c r="F5" s="2" t="s">
        <v>2</v>
      </c>
      <c r="G5" s="2" t="s">
        <v>3</v>
      </c>
      <c r="H5" s="5" t="s">
        <v>2</v>
      </c>
      <c r="I5" s="3" t="s">
        <v>3</v>
      </c>
      <c r="J5" s="2" t="s">
        <v>2</v>
      </c>
      <c r="K5" s="4" t="s">
        <v>3</v>
      </c>
      <c r="M5" s="18" t="s">
        <v>24</v>
      </c>
      <c r="N5" s="18" t="s">
        <v>25</v>
      </c>
      <c r="O5" s="18" t="s">
        <v>26</v>
      </c>
      <c r="P5" s="18" t="s">
        <v>0</v>
      </c>
      <c r="Q5" s="51" t="s">
        <v>1</v>
      </c>
      <c r="R5" s="51"/>
      <c r="S5" s="51" t="s">
        <v>4</v>
      </c>
      <c r="T5" s="51"/>
      <c r="U5" s="51" t="s">
        <v>5</v>
      </c>
      <c r="V5" s="51"/>
      <c r="W5" s="52" t="s">
        <v>6</v>
      </c>
      <c r="X5" s="52"/>
      <c r="Y5" s="18" t="s">
        <v>18</v>
      </c>
    </row>
    <row r="6" spans="1:25" ht="34.5" customHeight="1">
      <c r="A6" s="6" t="s">
        <v>39</v>
      </c>
      <c r="B6" s="7">
        <v>302595</v>
      </c>
      <c r="C6" s="8">
        <v>21.53</v>
      </c>
      <c r="D6" s="7">
        <v>448041</v>
      </c>
      <c r="E6" s="9">
        <v>31.88</v>
      </c>
      <c r="F6" s="7">
        <v>392621</v>
      </c>
      <c r="G6" s="9">
        <v>27.94</v>
      </c>
      <c r="H6" s="7">
        <v>262018</v>
      </c>
      <c r="I6" s="9">
        <v>18.649999999999999</v>
      </c>
      <c r="J6" s="7">
        <f>B6+D6+F6+H6</f>
        <v>1405275</v>
      </c>
      <c r="K6" s="10">
        <v>100</v>
      </c>
      <c r="M6" s="7">
        <f>AVERAGE(J6:J17)</f>
        <v>2084206.75</v>
      </c>
      <c r="N6" s="17">
        <f>_xlfn.VAR.S(J6:J17)</f>
        <v>13903778619289.113</v>
      </c>
      <c r="O6" s="7">
        <f>_xlfn.STDEV.S(J6:J17)</f>
        <v>3728777.0943419388</v>
      </c>
      <c r="P6" s="6" t="s">
        <v>12</v>
      </c>
      <c r="Q6" s="47">
        <f>(B6-M6)/O6</f>
        <v>-0.47780055093757812</v>
      </c>
      <c r="R6" s="47"/>
      <c r="S6" s="47">
        <f>(D6-M6)/O6</f>
        <v>-0.43879419675762449</v>
      </c>
      <c r="T6" s="47"/>
      <c r="U6" s="47">
        <f>(F6-M6)/O6</f>
        <v>-0.45365697846803954</v>
      </c>
      <c r="V6" s="47"/>
      <c r="W6" s="47">
        <f>(H6-M6)/O6</f>
        <v>-0.48868267099285617</v>
      </c>
      <c r="X6" s="47"/>
      <c r="Y6" s="21">
        <f>STANDARDIZE(J6,$M$6,$O$6)</f>
        <v>-0.18207893173078479</v>
      </c>
    </row>
    <row r="7" spans="1:25" ht="30" customHeight="1">
      <c r="A7" s="6" t="s">
        <v>20</v>
      </c>
      <c r="B7" s="7">
        <v>2346601</v>
      </c>
      <c r="C7" s="9">
        <v>23.09</v>
      </c>
      <c r="D7" s="7">
        <v>3551598</v>
      </c>
      <c r="E7" s="9">
        <v>34.94</v>
      </c>
      <c r="F7" s="7">
        <v>3236558</v>
      </c>
      <c r="G7" s="9">
        <v>31.84</v>
      </c>
      <c r="H7" s="7">
        <v>1029604</v>
      </c>
      <c r="I7" s="9">
        <v>10.130000000000001</v>
      </c>
      <c r="J7" s="7">
        <f>B7+D7+F7+H7</f>
        <v>10164361</v>
      </c>
      <c r="K7" s="11">
        <v>100</v>
      </c>
      <c r="M7" s="19"/>
      <c r="N7" s="20"/>
      <c r="O7" s="19"/>
      <c r="P7" s="6" t="s">
        <v>20</v>
      </c>
      <c r="Q7" s="47">
        <f>STANDARDIZE(B7,$M$6,$O$6)</f>
        <v>7.0370055211441324E-2</v>
      </c>
      <c r="R7" s="47"/>
      <c r="S7" s="47">
        <f t="shared" ref="S7" si="0">STANDARDIZE(D7,$M$6,$O$6)</f>
        <v>0.39353150184992963</v>
      </c>
      <c r="T7" s="47"/>
      <c r="U7" s="47">
        <f t="shared" ref="U7" si="1">STANDARDIZE(F7,$M$6,$O$6)</f>
        <v>0.30904267561302667</v>
      </c>
      <c r="V7" s="47"/>
      <c r="W7" s="47">
        <f t="shared" ref="W7" si="2">STANDARDIZE(H7,$M$6,$O$6)</f>
        <v>-0.2828280487992319</v>
      </c>
      <c r="X7" s="47"/>
      <c r="Y7" s="21">
        <f t="shared" ref="Y7:Y17" si="3">STANDARDIZE(J7,$M$6,$O$6)</f>
        <v>2.1669716493004794</v>
      </c>
    </row>
    <row r="8" spans="1:25" ht="30" customHeight="1">
      <c r="A8" s="6" t="s">
        <v>13</v>
      </c>
      <c r="B8" s="7">
        <v>5388</v>
      </c>
      <c r="C8" s="9">
        <v>22.42</v>
      </c>
      <c r="D8" s="7">
        <v>14046</v>
      </c>
      <c r="E8" s="9">
        <v>58.46</v>
      </c>
      <c r="F8" s="7">
        <v>4278</v>
      </c>
      <c r="G8" s="9">
        <v>17.8</v>
      </c>
      <c r="H8" s="12" t="s">
        <v>19</v>
      </c>
      <c r="I8" s="13" t="s">
        <v>19</v>
      </c>
      <c r="J8" s="7">
        <f>B8+D8+F8</f>
        <v>23712</v>
      </c>
      <c r="K8" s="11">
        <v>100</v>
      </c>
      <c r="M8" s="19"/>
      <c r="N8" s="20"/>
      <c r="O8" s="19"/>
      <c r="P8" s="6" t="s">
        <v>13</v>
      </c>
      <c r="Q8" s="47">
        <f t="shared" ref="Q8:Q17" si="4">STANDARDIZE(B8,$M$6,$O$6)</f>
        <v>-0.55750684404128303</v>
      </c>
      <c r="R8" s="47"/>
      <c r="S8" s="47">
        <f t="shared" ref="S8:S17" si="5">STANDARDIZE(D8,$M$6,$O$6)</f>
        <v>-0.55518490315263691</v>
      </c>
      <c r="T8" s="47"/>
      <c r="U8" s="47">
        <f t="shared" ref="U8:U17" si="6">STANDARDIZE(F8,$M$6,$O$6)</f>
        <v>-0.55780452877059672</v>
      </c>
      <c r="V8" s="47"/>
      <c r="W8" s="47" t="s">
        <v>19</v>
      </c>
      <c r="X8" s="47"/>
      <c r="Y8" s="21">
        <f t="shared" si="3"/>
        <v>-0.552592632347641</v>
      </c>
    </row>
    <row r="9" spans="1:25" ht="30" customHeight="1">
      <c r="A9" s="6" t="s">
        <v>14</v>
      </c>
      <c r="B9" s="7">
        <v>348394</v>
      </c>
      <c r="C9" s="9">
        <v>14.88</v>
      </c>
      <c r="D9" s="7">
        <v>1010354</v>
      </c>
      <c r="E9" s="9">
        <v>43.14</v>
      </c>
      <c r="F9" s="7">
        <v>784437</v>
      </c>
      <c r="G9" s="9">
        <v>33.49</v>
      </c>
      <c r="H9" s="7">
        <v>198818</v>
      </c>
      <c r="I9" s="9">
        <v>8.49</v>
      </c>
      <c r="J9" s="7">
        <f>B9+D9+F9+H9</f>
        <v>2342003</v>
      </c>
      <c r="K9" s="11">
        <v>100</v>
      </c>
      <c r="M9" s="19"/>
      <c r="N9" s="20"/>
      <c r="O9" s="19"/>
      <c r="P9" s="6" t="s">
        <v>14</v>
      </c>
      <c r="Q9" s="47">
        <f>STANDARDIZE(B9,$M$6,$O$6)</f>
        <v>-0.4655179717323219</v>
      </c>
      <c r="R9" s="47"/>
      <c r="S9" s="47">
        <f t="shared" si="5"/>
        <v>-0.2879905992850762</v>
      </c>
      <c r="T9" s="47"/>
      <c r="U9" s="47">
        <f t="shared" si="6"/>
        <v>-0.34857802360250384</v>
      </c>
      <c r="V9" s="47"/>
      <c r="W9" s="47">
        <f t="shared" ref="W9:W17" si="7">STANDARDIZE(H9,$M$6,$O$6)</f>
        <v>-0.50563192765287479</v>
      </c>
      <c r="X9" s="47"/>
      <c r="Y9" s="21">
        <f t="shared" si="3"/>
        <v>6.9136943152536809E-2</v>
      </c>
    </row>
    <row r="10" spans="1:25" ht="30" customHeight="1">
      <c r="A10" s="6" t="s">
        <v>15</v>
      </c>
      <c r="B10" s="7">
        <v>21416</v>
      </c>
      <c r="C10" s="9">
        <v>19.440000000000001</v>
      </c>
      <c r="D10" s="7">
        <v>58864</v>
      </c>
      <c r="E10" s="9">
        <v>53.44</v>
      </c>
      <c r="F10" s="7">
        <v>24263</v>
      </c>
      <c r="G10" s="9">
        <v>22.03</v>
      </c>
      <c r="H10" s="7">
        <v>5604</v>
      </c>
      <c r="I10" s="9">
        <v>5.09</v>
      </c>
      <c r="J10" s="7">
        <f>B10+D10+F10+H10</f>
        <v>110147</v>
      </c>
      <c r="K10" s="11">
        <v>100</v>
      </c>
      <c r="M10" s="19"/>
      <c r="N10" s="20"/>
      <c r="O10" s="19"/>
      <c r="P10" s="6" t="s">
        <v>15</v>
      </c>
      <c r="Q10" s="47">
        <f t="shared" si="4"/>
        <v>-0.5532083838237708</v>
      </c>
      <c r="R10" s="47"/>
      <c r="S10" s="47">
        <f t="shared" si="5"/>
        <v>-0.54316541288382814</v>
      </c>
      <c r="T10" s="47"/>
      <c r="U10" s="47">
        <f t="shared" si="6"/>
        <v>-0.55244486272074744</v>
      </c>
      <c r="V10" s="47"/>
      <c r="W10" s="47">
        <f t="shared" si="7"/>
        <v>-0.55744891620206527</v>
      </c>
      <c r="X10" s="47"/>
      <c r="Y10" s="21">
        <f t="shared" si="3"/>
        <v>-0.52941211020509815</v>
      </c>
    </row>
    <row r="11" spans="1:25" ht="30" customHeight="1">
      <c r="A11" s="6" t="s">
        <v>16</v>
      </c>
      <c r="B11" s="7">
        <v>6825</v>
      </c>
      <c r="C11" s="9">
        <v>23.82</v>
      </c>
      <c r="D11" s="7">
        <v>12877</v>
      </c>
      <c r="E11" s="9">
        <v>44.95</v>
      </c>
      <c r="F11" s="7">
        <v>8948</v>
      </c>
      <c r="G11" s="9">
        <v>31.23</v>
      </c>
      <c r="H11" s="12" t="s">
        <v>19</v>
      </c>
      <c r="I11" s="13" t="s">
        <v>19</v>
      </c>
      <c r="J11" s="7">
        <f>B11+D11+F11</f>
        <v>28650</v>
      </c>
      <c r="K11" s="11">
        <v>100</v>
      </c>
      <c r="M11" s="19"/>
      <c r="N11" s="20"/>
      <c r="O11" s="19"/>
      <c r="P11" s="6" t="s">
        <v>16</v>
      </c>
      <c r="Q11" s="47">
        <f t="shared" si="4"/>
        <v>-0.55712146299982035</v>
      </c>
      <c r="R11" s="47"/>
      <c r="S11" s="47">
        <f t="shared" si="5"/>
        <v>-0.55549841076395901</v>
      </c>
      <c r="T11" s="47"/>
      <c r="U11" s="47">
        <f t="shared" si="6"/>
        <v>-0.55655210743195294</v>
      </c>
      <c r="V11" s="47"/>
      <c r="W11" s="47" t="s">
        <v>19</v>
      </c>
      <c r="X11" s="47"/>
      <c r="Y11" s="21">
        <f t="shared" si="3"/>
        <v>-0.55126833757885663</v>
      </c>
    </row>
    <row r="12" spans="1:25" ht="30" customHeight="1">
      <c r="A12" s="6" t="s">
        <v>17</v>
      </c>
      <c r="B12" s="7">
        <v>9516</v>
      </c>
      <c r="C12" s="9">
        <v>13.11</v>
      </c>
      <c r="D12" s="7">
        <v>32212</v>
      </c>
      <c r="E12" s="9">
        <v>44.4</v>
      </c>
      <c r="F12" s="7">
        <v>23341</v>
      </c>
      <c r="G12" s="9">
        <v>32.17</v>
      </c>
      <c r="H12" s="7">
        <v>7488</v>
      </c>
      <c r="I12" s="9">
        <v>10.32</v>
      </c>
      <c r="J12" s="7">
        <f t="shared" ref="J12:J17" si="8">B12+D12+F12+H12</f>
        <v>72557</v>
      </c>
      <c r="K12" s="11">
        <v>100</v>
      </c>
      <c r="M12" s="19"/>
      <c r="N12" s="20"/>
      <c r="O12" s="19"/>
      <c r="P12" s="6" t="s">
        <v>17</v>
      </c>
      <c r="Q12" s="47">
        <f t="shared" si="4"/>
        <v>-0.55639977866956536</v>
      </c>
      <c r="R12" s="47"/>
      <c r="S12" s="47">
        <f t="shared" si="5"/>
        <v>-0.55031306460064477</v>
      </c>
      <c r="T12" s="47"/>
      <c r="U12" s="47">
        <f t="shared" si="6"/>
        <v>-0.55269212877518636</v>
      </c>
      <c r="V12" s="47"/>
      <c r="W12" s="47">
        <f t="shared" si="7"/>
        <v>-0.55694365671555457</v>
      </c>
      <c r="X12" s="47"/>
      <c r="Y12" s="21">
        <f t="shared" si="3"/>
        <v>-0.53949316333563768</v>
      </c>
    </row>
    <row r="13" spans="1:25" ht="30" customHeight="1">
      <c r="A13" s="6" t="s">
        <v>7</v>
      </c>
      <c r="B13" s="7">
        <v>26152</v>
      </c>
      <c r="C13" s="9">
        <v>22.91</v>
      </c>
      <c r="D13" s="7">
        <v>44128</v>
      </c>
      <c r="E13" s="9">
        <v>38.67</v>
      </c>
      <c r="F13" s="7">
        <v>37842</v>
      </c>
      <c r="G13" s="9">
        <v>33.159999999999997</v>
      </c>
      <c r="H13" s="7">
        <v>6006</v>
      </c>
      <c r="I13" s="9">
        <v>5.26</v>
      </c>
      <c r="J13" s="7">
        <f t="shared" si="8"/>
        <v>114128</v>
      </c>
      <c r="K13" s="11">
        <v>100</v>
      </c>
      <c r="M13" s="19"/>
      <c r="N13" s="20"/>
      <c r="O13" s="19"/>
      <c r="P13" s="6" t="s">
        <v>7</v>
      </c>
      <c r="Q13" s="47">
        <f t="shared" si="4"/>
        <v>-0.55193826231203269</v>
      </c>
      <c r="R13" s="47"/>
      <c r="S13" s="47">
        <f t="shared" si="5"/>
        <v>-0.54711737880379696</v>
      </c>
      <c r="T13" s="47"/>
      <c r="U13" s="47">
        <f t="shared" si="6"/>
        <v>-0.54880318619881086</v>
      </c>
      <c r="V13" s="47"/>
      <c r="W13" s="47">
        <f t="shared" si="7"/>
        <v>-0.55734110605685439</v>
      </c>
      <c r="X13" s="47"/>
      <c r="Y13" s="21">
        <f t="shared" si="3"/>
        <v>-0.5283444679461814</v>
      </c>
    </row>
    <row r="14" spans="1:25" ht="30" customHeight="1">
      <c r="A14" s="6" t="s">
        <v>8</v>
      </c>
      <c r="B14" s="7">
        <v>96360</v>
      </c>
      <c r="C14" s="9">
        <v>30.63</v>
      </c>
      <c r="D14" s="7">
        <v>131893</v>
      </c>
      <c r="E14" s="9">
        <v>41.93</v>
      </c>
      <c r="F14" s="7">
        <v>65020</v>
      </c>
      <c r="G14" s="9">
        <v>20.67</v>
      </c>
      <c r="H14" s="7">
        <v>21307</v>
      </c>
      <c r="I14" s="9">
        <v>6.77</v>
      </c>
      <c r="J14" s="7">
        <f t="shared" si="8"/>
        <v>314580</v>
      </c>
      <c r="K14" s="11">
        <v>100</v>
      </c>
      <c r="M14" s="19"/>
      <c r="N14" s="20"/>
      <c r="O14" s="19"/>
      <c r="P14" s="6" t="s">
        <v>8</v>
      </c>
      <c r="Q14" s="47">
        <f t="shared" si="4"/>
        <v>-0.53310956909072593</v>
      </c>
      <c r="R14" s="47"/>
      <c r="S14" s="47">
        <f t="shared" si="5"/>
        <v>-0.52358017135495938</v>
      </c>
      <c r="T14" s="47"/>
      <c r="U14" s="47">
        <f t="shared" si="6"/>
        <v>-0.54151446946612125</v>
      </c>
      <c r="V14" s="47"/>
      <c r="W14" s="47">
        <f t="shared" si="7"/>
        <v>-0.5532376159278205</v>
      </c>
      <c r="X14" s="47"/>
      <c r="Y14" s="21">
        <f t="shared" si="3"/>
        <v>-0.47458636041431351</v>
      </c>
    </row>
    <row r="15" spans="1:25" ht="30" customHeight="1">
      <c r="A15" s="6" t="s">
        <v>9</v>
      </c>
      <c r="B15" s="7">
        <v>86835</v>
      </c>
      <c r="C15" s="9">
        <v>30.63</v>
      </c>
      <c r="D15" s="7">
        <v>108826</v>
      </c>
      <c r="E15" s="9">
        <v>38.39</v>
      </c>
      <c r="F15" s="7">
        <v>67740</v>
      </c>
      <c r="G15" s="9">
        <v>23.9</v>
      </c>
      <c r="H15" s="7">
        <v>20072</v>
      </c>
      <c r="I15" s="9">
        <v>7.08</v>
      </c>
      <c r="J15" s="7">
        <f t="shared" si="8"/>
        <v>283473</v>
      </c>
      <c r="K15" s="11">
        <v>100</v>
      </c>
      <c r="M15" s="19"/>
      <c r="N15" s="20"/>
      <c r="O15" s="19"/>
      <c r="P15" s="6" t="s">
        <v>9</v>
      </c>
      <c r="Q15" s="47">
        <f t="shared" si="4"/>
        <v>-0.53566402588956574</v>
      </c>
      <c r="R15" s="47"/>
      <c r="S15" s="47">
        <f t="shared" si="5"/>
        <v>-0.52976638185142544</v>
      </c>
      <c r="T15" s="47"/>
      <c r="U15" s="47">
        <f t="shared" si="6"/>
        <v>-0.54078500778708238</v>
      </c>
      <c r="V15" s="47"/>
      <c r="W15" s="47">
        <f t="shared" si="7"/>
        <v>-0.55356882371223703</v>
      </c>
      <c r="X15" s="47"/>
      <c r="Y15" s="21">
        <f t="shared" si="3"/>
        <v>-0.48292877381499705</v>
      </c>
    </row>
    <row r="16" spans="1:25" ht="30" customHeight="1">
      <c r="A16" s="6" t="s">
        <v>10</v>
      </c>
      <c r="B16" s="7">
        <v>2451997</v>
      </c>
      <c r="C16" s="9">
        <v>25.31</v>
      </c>
      <c r="D16" s="7">
        <v>3159292</v>
      </c>
      <c r="E16" s="9">
        <v>32.61</v>
      </c>
      <c r="F16" s="7">
        <v>2796727</v>
      </c>
      <c r="G16" s="9">
        <v>28.86</v>
      </c>
      <c r="H16" s="7">
        <v>1280590</v>
      </c>
      <c r="I16" s="9">
        <v>13.22</v>
      </c>
      <c r="J16" s="7">
        <f t="shared" si="8"/>
        <v>9688606</v>
      </c>
      <c r="K16" s="11">
        <v>100</v>
      </c>
      <c r="M16" s="19"/>
      <c r="N16" s="20"/>
      <c r="O16" s="19"/>
      <c r="P16" s="6" t="s">
        <v>10</v>
      </c>
      <c r="Q16" s="47">
        <f t="shared" si="4"/>
        <v>9.8635622536430614E-2</v>
      </c>
      <c r="R16" s="47"/>
      <c r="S16" s="47">
        <f t="shared" si="5"/>
        <v>0.28832113660839065</v>
      </c>
      <c r="T16" s="47"/>
      <c r="U16" s="47">
        <f t="shared" si="6"/>
        <v>0.19108684482137081</v>
      </c>
      <c r="V16" s="47"/>
      <c r="W16" s="47">
        <f t="shared" si="7"/>
        <v>-0.21551750873481046</v>
      </c>
      <c r="X16" s="47"/>
      <c r="Y16" s="21">
        <f t="shared" si="3"/>
        <v>2.039381560656695</v>
      </c>
    </row>
    <row r="17" spans="1:25" ht="30" customHeight="1">
      <c r="A17" s="6" t="s">
        <v>11</v>
      </c>
      <c r="B17" s="7">
        <v>81003</v>
      </c>
      <c r="C17" s="9">
        <v>17.489999999999998</v>
      </c>
      <c r="D17" s="7">
        <v>140873</v>
      </c>
      <c r="E17" s="9">
        <v>30.43</v>
      </c>
      <c r="F17" s="7">
        <v>179212</v>
      </c>
      <c r="G17" s="9">
        <v>38.71</v>
      </c>
      <c r="H17" s="7">
        <v>61901</v>
      </c>
      <c r="I17" s="9">
        <v>13.37</v>
      </c>
      <c r="J17" s="7">
        <f t="shared" si="8"/>
        <v>462989</v>
      </c>
      <c r="K17" s="11">
        <v>100</v>
      </c>
      <c r="M17" s="19"/>
      <c r="N17" s="20"/>
      <c r="O17" s="19"/>
      <c r="P17" s="6" t="s">
        <v>11</v>
      </c>
      <c r="Q17" s="47">
        <f t="shared" si="4"/>
        <v>-0.53722807754844593</v>
      </c>
      <c r="R17" s="47"/>
      <c r="S17" s="47">
        <f t="shared" si="5"/>
        <v>-0.5211718750763682</v>
      </c>
      <c r="T17" s="47"/>
      <c r="U17" s="47">
        <f t="shared" si="6"/>
        <v>-0.51088995179965213</v>
      </c>
      <c r="V17" s="47"/>
      <c r="W17" s="47">
        <f t="shared" si="7"/>
        <v>-0.54235093673704837</v>
      </c>
      <c r="X17" s="47"/>
      <c r="Y17" s="21">
        <f t="shared" si="3"/>
        <v>-0.43478537573620107</v>
      </c>
    </row>
    <row r="18" spans="1:25">
      <c r="A18" s="26" t="s">
        <v>18</v>
      </c>
      <c r="B18" s="14">
        <f>SUM(B6:B17)</f>
        <v>5783082</v>
      </c>
      <c r="C18" s="15">
        <v>23.12</v>
      </c>
      <c r="D18" s="14">
        <f>SUM(D6:D17)</f>
        <v>8713004</v>
      </c>
      <c r="E18" s="15">
        <v>34.840000000000003</v>
      </c>
      <c r="F18" s="14">
        <f>SUM(F6:F17)</f>
        <v>7620987</v>
      </c>
      <c r="G18" s="15">
        <v>30.47</v>
      </c>
      <c r="H18" s="14">
        <f>SUM(H6:H17)</f>
        <v>2893408</v>
      </c>
      <c r="I18" s="15">
        <v>11.57</v>
      </c>
      <c r="J18" s="14">
        <f>SUM(J6:J17)</f>
        <v>25010481</v>
      </c>
      <c r="K18" s="16">
        <v>100</v>
      </c>
      <c r="P18"/>
    </row>
    <row r="19" spans="1:25">
      <c r="A19" s="1" t="s">
        <v>21</v>
      </c>
      <c r="B19" s="48" t="s">
        <v>22</v>
      </c>
      <c r="C19" s="48"/>
      <c r="D19" s="48"/>
      <c r="E19" s="48"/>
      <c r="F19" s="48"/>
      <c r="G19" s="48"/>
      <c r="H19" s="48"/>
      <c r="I19" s="48"/>
      <c r="J19" s="48"/>
      <c r="K19" s="48"/>
    </row>
    <row r="29" spans="1:25" ht="30">
      <c r="A29" s="22" t="s">
        <v>27</v>
      </c>
      <c r="B29" s="23"/>
      <c r="C29" s="23"/>
    </row>
    <row r="30" spans="1:25" ht="28.5">
      <c r="A30" s="24" t="s">
        <v>13</v>
      </c>
      <c r="B30" s="25">
        <v>23712</v>
      </c>
      <c r="C30" s="23"/>
    </row>
    <row r="31" spans="1:25" ht="28.5">
      <c r="A31" s="24" t="s">
        <v>16</v>
      </c>
      <c r="B31" s="25">
        <v>28650</v>
      </c>
      <c r="C31" s="23"/>
    </row>
    <row r="32" spans="1:25">
      <c r="A32" s="24" t="s">
        <v>17</v>
      </c>
      <c r="B32" s="25">
        <v>72557</v>
      </c>
      <c r="C32" s="23"/>
    </row>
    <row r="33" spans="1:3">
      <c r="A33" s="24" t="s">
        <v>15</v>
      </c>
      <c r="B33" s="25">
        <v>110147</v>
      </c>
      <c r="C33" s="23"/>
    </row>
    <row r="34" spans="1:3">
      <c r="A34" s="24" t="s">
        <v>7</v>
      </c>
      <c r="B34" s="25">
        <v>114128</v>
      </c>
      <c r="C34" s="23"/>
    </row>
    <row r="35" spans="1:3">
      <c r="A35" s="24" t="s">
        <v>9</v>
      </c>
      <c r="B35" s="25">
        <v>283473</v>
      </c>
      <c r="C35" s="23"/>
    </row>
    <row r="36" spans="1:3">
      <c r="A36" s="24" t="s">
        <v>8</v>
      </c>
      <c r="B36" s="25">
        <v>314580</v>
      </c>
      <c r="C36" s="23"/>
    </row>
    <row r="37" spans="1:3">
      <c r="A37" s="24" t="s">
        <v>11</v>
      </c>
      <c r="B37" s="25">
        <v>462989</v>
      </c>
      <c r="C37" s="23"/>
    </row>
    <row r="38" spans="1:3">
      <c r="A38" s="24" t="s">
        <v>40</v>
      </c>
      <c r="B38" s="25">
        <v>1405275</v>
      </c>
      <c r="C38" s="23"/>
    </row>
    <row r="39" spans="1:3" ht="28.5">
      <c r="A39" s="24" t="s">
        <v>14</v>
      </c>
      <c r="B39" s="25">
        <v>2342003</v>
      </c>
      <c r="C39" s="23"/>
    </row>
    <row r="40" spans="1:3">
      <c r="A40" s="24" t="s">
        <v>10</v>
      </c>
      <c r="B40" s="25">
        <v>9688606</v>
      </c>
      <c r="C40" s="23"/>
    </row>
    <row r="41" spans="1:3">
      <c r="A41" s="24" t="s">
        <v>20</v>
      </c>
      <c r="B41" s="25">
        <v>10164361</v>
      </c>
      <c r="C41" s="23"/>
    </row>
    <row r="42" spans="1:3">
      <c r="A42" s="22"/>
      <c r="B42" s="23"/>
      <c r="C42" s="23"/>
    </row>
  </sheetData>
  <sortState xmlns:xlrd2="http://schemas.microsoft.com/office/spreadsheetml/2017/richdata2" ref="A30:B41">
    <sortCondition ref="B30:B41"/>
  </sortState>
  <mergeCells count="61">
    <mergeCell ref="J4:K4"/>
    <mergeCell ref="A3:A5"/>
    <mergeCell ref="B3:K3"/>
    <mergeCell ref="B19:K19"/>
    <mergeCell ref="B4:C4"/>
    <mergeCell ref="D4:E4"/>
    <mergeCell ref="F4:G4"/>
    <mergeCell ref="H4:I4"/>
    <mergeCell ref="W5:X5"/>
    <mergeCell ref="Q5:R5"/>
    <mergeCell ref="S5:T5"/>
    <mergeCell ref="U5:V5"/>
    <mergeCell ref="Q9:R9"/>
    <mergeCell ref="S6:T6"/>
    <mergeCell ref="U6:V6"/>
    <mergeCell ref="S9:T9"/>
    <mergeCell ref="U9:V9"/>
    <mergeCell ref="W6:X6"/>
    <mergeCell ref="S7:T7"/>
    <mergeCell ref="U7:V7"/>
    <mergeCell ref="W7:X7"/>
    <mergeCell ref="S8:T8"/>
    <mergeCell ref="U8:V8"/>
    <mergeCell ref="W8:X8"/>
    <mergeCell ref="Q15:R15"/>
    <mergeCell ref="Q16:R16"/>
    <mergeCell ref="Q17:R17"/>
    <mergeCell ref="Q6:R6"/>
    <mergeCell ref="Q7:R7"/>
    <mergeCell ref="Q8:R8"/>
    <mergeCell ref="Q10:R10"/>
    <mergeCell ref="Q11:R11"/>
    <mergeCell ref="Q12:R12"/>
    <mergeCell ref="Q13:R13"/>
    <mergeCell ref="Q14:R14"/>
    <mergeCell ref="S13:T13"/>
    <mergeCell ref="U13:V13"/>
    <mergeCell ref="W13:X13"/>
    <mergeCell ref="W9:X9"/>
    <mergeCell ref="S10:T10"/>
    <mergeCell ref="U10:V10"/>
    <mergeCell ref="W10:X10"/>
    <mergeCell ref="S11:T11"/>
    <mergeCell ref="U11:V11"/>
    <mergeCell ref="W11:X11"/>
    <mergeCell ref="P4:Y4"/>
    <mergeCell ref="S16:T16"/>
    <mergeCell ref="U16:V16"/>
    <mergeCell ref="W16:X16"/>
    <mergeCell ref="S17:T17"/>
    <mergeCell ref="U17:V17"/>
    <mergeCell ref="W17:X17"/>
    <mergeCell ref="S14:T14"/>
    <mergeCell ref="U14:V14"/>
    <mergeCell ref="W14:X14"/>
    <mergeCell ref="S15:T15"/>
    <mergeCell ref="U15:V15"/>
    <mergeCell ref="W15:X15"/>
    <mergeCell ref="S12:T12"/>
    <mergeCell ref="U12:V12"/>
    <mergeCell ref="W12:X12"/>
  </mergeCells>
  <pageMargins left="0.7" right="0.7" top="0.75" bottom="0.75" header="0.3" footer="0.3"/>
  <ignoredErrors>
    <ignoredError sqref="J8 J11" formula="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76EF-0539-4F22-9AC1-C027146FC30F}">
  <dimension ref="A3:P50"/>
  <sheetViews>
    <sheetView topLeftCell="A24" zoomScale="85" zoomScaleNormal="85" workbookViewId="0">
      <selection activeCell="M24" sqref="M24"/>
    </sheetView>
  </sheetViews>
  <sheetFormatPr defaultRowHeight="15"/>
  <cols>
    <col min="1" max="1" width="49.140625" style="1" customWidth="1"/>
    <col min="2" max="9" width="10.7109375" customWidth="1"/>
    <col min="10" max="11" width="12.5703125" customWidth="1"/>
    <col min="13" max="21" width="9.140625" customWidth="1"/>
    <col min="23" max="25" width="9.140625" customWidth="1"/>
    <col min="157" max="157" width="9.140625" customWidth="1"/>
  </cols>
  <sheetData>
    <row r="3" spans="1:16" ht="30" customHeight="1">
      <c r="A3" s="53" t="s">
        <v>0</v>
      </c>
      <c r="B3" s="56">
        <v>2024</v>
      </c>
      <c r="C3" s="56"/>
      <c r="D3" s="56"/>
      <c r="E3" s="56"/>
      <c r="F3" s="56"/>
      <c r="G3" s="56"/>
      <c r="H3" s="56"/>
      <c r="I3" s="56"/>
      <c r="J3" s="56"/>
      <c r="K3" s="57"/>
    </row>
    <row r="4" spans="1:16" ht="47.25" customHeight="1">
      <c r="A4" s="54"/>
      <c r="B4" s="58" t="s">
        <v>1</v>
      </c>
      <c r="C4" s="58"/>
      <c r="D4" s="59" t="s">
        <v>4</v>
      </c>
      <c r="E4" s="60"/>
      <c r="F4" s="61" t="s">
        <v>5</v>
      </c>
      <c r="G4" s="61"/>
      <c r="H4" s="62" t="s">
        <v>6</v>
      </c>
      <c r="I4" s="63"/>
      <c r="J4" s="62" t="s">
        <v>18</v>
      </c>
      <c r="K4" s="64"/>
    </row>
    <row r="5" spans="1:16" ht="33.75" customHeight="1">
      <c r="A5" s="55"/>
      <c r="B5" s="2" t="s">
        <v>2</v>
      </c>
      <c r="C5" s="2" t="s">
        <v>3</v>
      </c>
      <c r="D5" s="5" t="s">
        <v>2</v>
      </c>
      <c r="E5" s="3" t="s">
        <v>3</v>
      </c>
      <c r="F5" s="2" t="s">
        <v>2</v>
      </c>
      <c r="G5" s="2" t="s">
        <v>3</v>
      </c>
      <c r="H5" s="5" t="s">
        <v>2</v>
      </c>
      <c r="I5" s="3" t="s">
        <v>3</v>
      </c>
      <c r="J5" s="2" t="s">
        <v>2</v>
      </c>
      <c r="K5" s="4" t="s">
        <v>3</v>
      </c>
      <c r="M5" s="23"/>
      <c r="N5" s="23"/>
      <c r="O5" s="23"/>
      <c r="P5" s="23"/>
    </row>
    <row r="6" spans="1:16" ht="34.5" customHeight="1">
      <c r="A6" s="6" t="s">
        <v>40</v>
      </c>
      <c r="B6" s="7">
        <v>302595</v>
      </c>
      <c r="C6" s="8">
        <v>21.53</v>
      </c>
      <c r="D6" s="7">
        <v>448041</v>
      </c>
      <c r="E6" s="9">
        <v>31.88</v>
      </c>
      <c r="F6" s="7">
        <v>392621</v>
      </c>
      <c r="G6" s="9">
        <v>27.94</v>
      </c>
      <c r="H6" s="7">
        <v>262018</v>
      </c>
      <c r="I6" s="9">
        <v>18.649999999999999</v>
      </c>
      <c r="J6" s="7">
        <f>B6+D6+F6+H6</f>
        <v>1405275</v>
      </c>
      <c r="K6" s="10">
        <v>100</v>
      </c>
      <c r="M6" s="27"/>
      <c r="N6" s="24" t="s">
        <v>13</v>
      </c>
      <c r="O6" s="28">
        <v>8.9999999999999998E-4</v>
      </c>
      <c r="P6" s="23"/>
    </row>
    <row r="7" spans="1:16" ht="30" customHeight="1">
      <c r="A7" s="6" t="s">
        <v>20</v>
      </c>
      <c r="B7" s="7">
        <v>2346601</v>
      </c>
      <c r="C7" s="9">
        <v>23.09</v>
      </c>
      <c r="D7" s="7">
        <v>3551598</v>
      </c>
      <c r="E7" s="9">
        <v>34.94</v>
      </c>
      <c r="F7" s="7">
        <v>3236558</v>
      </c>
      <c r="G7" s="9">
        <v>31.84</v>
      </c>
      <c r="H7" s="7">
        <v>1029604</v>
      </c>
      <c r="I7" s="9">
        <v>10.130000000000001</v>
      </c>
      <c r="J7" s="7">
        <f>B7+D7+F7+H7</f>
        <v>10164361</v>
      </c>
      <c r="K7" s="11">
        <v>100</v>
      </c>
      <c r="M7" s="27"/>
      <c r="N7" s="24" t="s">
        <v>16</v>
      </c>
      <c r="O7" s="28">
        <v>1.1000000000000001E-3</v>
      </c>
      <c r="P7" s="23"/>
    </row>
    <row r="8" spans="1:16" ht="30" customHeight="1">
      <c r="A8" s="6" t="s">
        <v>13</v>
      </c>
      <c r="B8" s="7">
        <v>5388</v>
      </c>
      <c r="C8" s="9">
        <v>22.42</v>
      </c>
      <c r="D8" s="7">
        <v>14046</v>
      </c>
      <c r="E8" s="9">
        <v>58.46</v>
      </c>
      <c r="F8" s="7">
        <v>4278</v>
      </c>
      <c r="G8" s="9">
        <v>17.8</v>
      </c>
      <c r="H8" s="12" t="s">
        <v>19</v>
      </c>
      <c r="I8" s="13" t="s">
        <v>19</v>
      </c>
      <c r="J8" s="7">
        <f>B8+D8+F8</f>
        <v>23712</v>
      </c>
      <c r="K8" s="11">
        <v>100</v>
      </c>
      <c r="M8" s="27"/>
      <c r="N8" s="24" t="s">
        <v>17</v>
      </c>
      <c r="O8" s="28">
        <v>2.8999999999999998E-3</v>
      </c>
      <c r="P8" s="23"/>
    </row>
    <row r="9" spans="1:16" ht="30" customHeight="1">
      <c r="A9" s="6" t="s">
        <v>14</v>
      </c>
      <c r="B9" s="7">
        <v>348394</v>
      </c>
      <c r="C9" s="9">
        <v>14.88</v>
      </c>
      <c r="D9" s="7">
        <v>1010354</v>
      </c>
      <c r="E9" s="9">
        <v>43.14</v>
      </c>
      <c r="F9" s="7">
        <v>784437</v>
      </c>
      <c r="G9" s="9">
        <v>33.49</v>
      </c>
      <c r="H9" s="7">
        <v>198818</v>
      </c>
      <c r="I9" s="9">
        <v>8.49</v>
      </c>
      <c r="J9" s="7">
        <f>B9+D9+F9+H9</f>
        <v>2342003</v>
      </c>
      <c r="K9" s="11">
        <v>100</v>
      </c>
      <c r="M9" s="27"/>
      <c r="N9" s="24" t="s">
        <v>15</v>
      </c>
      <c r="O9" s="28">
        <v>4.4000000000000003E-3</v>
      </c>
      <c r="P9" s="23"/>
    </row>
    <row r="10" spans="1:16" ht="30" customHeight="1">
      <c r="A10" s="6" t="s">
        <v>15</v>
      </c>
      <c r="B10" s="7">
        <v>21416</v>
      </c>
      <c r="C10" s="9">
        <v>19.440000000000001</v>
      </c>
      <c r="D10" s="7">
        <v>58864</v>
      </c>
      <c r="E10" s="9">
        <v>53.44</v>
      </c>
      <c r="F10" s="7">
        <v>24263</v>
      </c>
      <c r="G10" s="9">
        <v>22.03</v>
      </c>
      <c r="H10" s="7">
        <v>5604</v>
      </c>
      <c r="I10" s="9">
        <v>5.09</v>
      </c>
      <c r="J10" s="7">
        <f>B10+D10+F10+H10</f>
        <v>110147</v>
      </c>
      <c r="K10" s="11">
        <v>100</v>
      </c>
      <c r="M10" s="27"/>
      <c r="N10" s="24" t="s">
        <v>7</v>
      </c>
      <c r="O10" s="28">
        <v>4.5999999999999999E-3</v>
      </c>
      <c r="P10" s="23"/>
    </row>
    <row r="11" spans="1:16" ht="30" customHeight="1">
      <c r="A11" s="6" t="s">
        <v>16</v>
      </c>
      <c r="B11" s="7">
        <v>6825</v>
      </c>
      <c r="C11" s="9">
        <v>23.82</v>
      </c>
      <c r="D11" s="7">
        <v>12877</v>
      </c>
      <c r="E11" s="9">
        <v>44.95</v>
      </c>
      <c r="F11" s="7">
        <v>8948</v>
      </c>
      <c r="G11" s="9">
        <v>31.23</v>
      </c>
      <c r="H11" s="12" t="s">
        <v>19</v>
      </c>
      <c r="I11" s="13" t="s">
        <v>19</v>
      </c>
      <c r="J11" s="7">
        <f>B11+D11+F11</f>
        <v>28650</v>
      </c>
      <c r="K11" s="11">
        <v>100</v>
      </c>
      <c r="M11" s="27"/>
      <c r="N11" s="24" t="s">
        <v>9</v>
      </c>
      <c r="O11" s="28">
        <v>1.1299999999999999E-2</v>
      </c>
      <c r="P11" s="23"/>
    </row>
    <row r="12" spans="1:16" ht="30" customHeight="1">
      <c r="A12" s="6" t="s">
        <v>17</v>
      </c>
      <c r="B12" s="7">
        <v>9516</v>
      </c>
      <c r="C12" s="9">
        <v>13.11</v>
      </c>
      <c r="D12" s="7">
        <v>32212</v>
      </c>
      <c r="E12" s="9">
        <v>44.4</v>
      </c>
      <c r="F12" s="7">
        <v>23341</v>
      </c>
      <c r="G12" s="9">
        <v>32.17</v>
      </c>
      <c r="H12" s="7">
        <v>7488</v>
      </c>
      <c r="I12" s="9">
        <v>10.32</v>
      </c>
      <c r="J12" s="7">
        <f t="shared" ref="J12:J17" si="0">B12+D12+F12+H12</f>
        <v>72557</v>
      </c>
      <c r="K12" s="11">
        <v>100</v>
      </c>
      <c r="M12" s="27"/>
      <c r="N12" s="24" t="s">
        <v>8</v>
      </c>
      <c r="O12" s="28">
        <v>1.26E-2</v>
      </c>
      <c r="P12" s="23"/>
    </row>
    <row r="13" spans="1:16" ht="30" customHeight="1">
      <c r="A13" s="6" t="s">
        <v>7</v>
      </c>
      <c r="B13" s="7">
        <v>26152</v>
      </c>
      <c r="C13" s="9">
        <v>22.91</v>
      </c>
      <c r="D13" s="7">
        <v>44128</v>
      </c>
      <c r="E13" s="9">
        <v>38.67</v>
      </c>
      <c r="F13" s="7">
        <v>37842</v>
      </c>
      <c r="G13" s="9">
        <v>33.159999999999997</v>
      </c>
      <c r="H13" s="7">
        <v>6006</v>
      </c>
      <c r="I13" s="9">
        <v>5.26</v>
      </c>
      <c r="J13" s="7">
        <f t="shared" si="0"/>
        <v>114128</v>
      </c>
      <c r="K13" s="11">
        <v>100</v>
      </c>
      <c r="M13" s="27"/>
      <c r="N13" s="24" t="s">
        <v>11</v>
      </c>
      <c r="O13" s="28">
        <v>1.8500000000000003E-2</v>
      </c>
      <c r="P13" s="23"/>
    </row>
    <row r="14" spans="1:16" ht="30" customHeight="1">
      <c r="A14" s="6" t="s">
        <v>8</v>
      </c>
      <c r="B14" s="7">
        <v>96360</v>
      </c>
      <c r="C14" s="9">
        <v>30.63</v>
      </c>
      <c r="D14" s="7">
        <v>131893</v>
      </c>
      <c r="E14" s="9">
        <v>41.93</v>
      </c>
      <c r="F14" s="7">
        <v>65020</v>
      </c>
      <c r="G14" s="9">
        <v>20.67</v>
      </c>
      <c r="H14" s="7">
        <v>21307</v>
      </c>
      <c r="I14" s="9">
        <v>6.77</v>
      </c>
      <c r="J14" s="7">
        <f t="shared" si="0"/>
        <v>314580</v>
      </c>
      <c r="K14" s="11">
        <v>100</v>
      </c>
      <c r="M14" s="27"/>
      <c r="N14" s="24" t="s">
        <v>40</v>
      </c>
      <c r="O14" s="28">
        <v>5.62E-2</v>
      </c>
      <c r="P14" s="23"/>
    </row>
    <row r="15" spans="1:16" ht="30" customHeight="1">
      <c r="A15" s="6" t="s">
        <v>9</v>
      </c>
      <c r="B15" s="7">
        <v>86835</v>
      </c>
      <c r="C15" s="9">
        <v>30.63</v>
      </c>
      <c r="D15" s="7">
        <v>108826</v>
      </c>
      <c r="E15" s="9">
        <v>38.39</v>
      </c>
      <c r="F15" s="7">
        <v>67740</v>
      </c>
      <c r="G15" s="9">
        <v>23.9</v>
      </c>
      <c r="H15" s="7">
        <v>20072</v>
      </c>
      <c r="I15" s="9">
        <v>7.08</v>
      </c>
      <c r="J15" s="7">
        <f t="shared" si="0"/>
        <v>283473</v>
      </c>
      <c r="K15" s="11">
        <v>100</v>
      </c>
      <c r="M15" s="27"/>
      <c r="N15" s="24" t="s">
        <v>14</v>
      </c>
      <c r="O15" s="28">
        <v>9.3599999999999989E-2</v>
      </c>
      <c r="P15" s="23"/>
    </row>
    <row r="16" spans="1:16" ht="30" customHeight="1">
      <c r="A16" s="6" t="s">
        <v>10</v>
      </c>
      <c r="B16" s="7">
        <v>2451997</v>
      </c>
      <c r="C16" s="9">
        <v>25.31</v>
      </c>
      <c r="D16" s="7">
        <v>3159292</v>
      </c>
      <c r="E16" s="9">
        <v>32.61</v>
      </c>
      <c r="F16" s="7">
        <v>2796727</v>
      </c>
      <c r="G16" s="9">
        <v>28.86</v>
      </c>
      <c r="H16" s="7">
        <v>1280590</v>
      </c>
      <c r="I16" s="9">
        <v>13.22</v>
      </c>
      <c r="J16" s="7">
        <f t="shared" si="0"/>
        <v>9688606</v>
      </c>
      <c r="K16" s="11">
        <v>100</v>
      </c>
      <c r="M16" s="27"/>
      <c r="N16" s="24" t="s">
        <v>10</v>
      </c>
      <c r="O16" s="28">
        <v>0.38740000000000002</v>
      </c>
      <c r="P16" s="23"/>
    </row>
    <row r="17" spans="1:16" ht="30" customHeight="1">
      <c r="A17" s="6" t="s">
        <v>11</v>
      </c>
      <c r="B17" s="7">
        <v>81003</v>
      </c>
      <c r="C17" s="9">
        <v>17.489999999999998</v>
      </c>
      <c r="D17" s="7">
        <v>140873</v>
      </c>
      <c r="E17" s="9">
        <v>30.43</v>
      </c>
      <c r="F17" s="7">
        <v>179212</v>
      </c>
      <c r="G17" s="9">
        <v>38.71</v>
      </c>
      <c r="H17" s="7">
        <v>61901</v>
      </c>
      <c r="I17" s="9">
        <v>13.37</v>
      </c>
      <c r="J17" s="7">
        <f t="shared" si="0"/>
        <v>462989</v>
      </c>
      <c r="K17" s="11">
        <v>100</v>
      </c>
      <c r="M17" s="27"/>
      <c r="N17" s="24" t="s">
        <v>20</v>
      </c>
      <c r="O17" s="28">
        <v>0.40639999999999998</v>
      </c>
      <c r="P17" s="23"/>
    </row>
    <row r="18" spans="1:16">
      <c r="A18" s="26" t="s">
        <v>18</v>
      </c>
      <c r="B18" s="14">
        <f>SUM(B6:B17)</f>
        <v>5783082</v>
      </c>
      <c r="C18" s="15">
        <v>23.12</v>
      </c>
      <c r="D18" s="14">
        <f>SUM(D6:D17)</f>
        <v>8713004</v>
      </c>
      <c r="E18" s="15">
        <v>34.840000000000003</v>
      </c>
      <c r="F18" s="14">
        <f>SUM(F6:F17)</f>
        <v>7620987</v>
      </c>
      <c r="G18" s="15">
        <v>30.47</v>
      </c>
      <c r="H18" s="14">
        <f>SUM(H6:H17)</f>
        <v>2893408</v>
      </c>
      <c r="I18" s="15">
        <v>11.57</v>
      </c>
      <c r="J18" s="14">
        <f>SUM(J6:J17)</f>
        <v>25010481</v>
      </c>
      <c r="K18" s="16">
        <v>100</v>
      </c>
      <c r="M18" s="23"/>
      <c r="N18" s="23"/>
      <c r="O18" s="23"/>
      <c r="P18" s="23"/>
    </row>
    <row r="19" spans="1:16">
      <c r="A19" s="1" t="s">
        <v>21</v>
      </c>
      <c r="B19" s="48" t="s">
        <v>22</v>
      </c>
      <c r="C19" s="48"/>
      <c r="D19" s="48"/>
      <c r="E19" s="48"/>
      <c r="F19" s="48"/>
      <c r="G19" s="48"/>
      <c r="H19" s="48"/>
      <c r="I19" s="48"/>
      <c r="J19" s="48"/>
      <c r="K19" s="48"/>
    </row>
    <row r="22" spans="1:16">
      <c r="A22" s="29" t="s">
        <v>33</v>
      </c>
    </row>
    <row r="23" spans="1:16">
      <c r="A23" s="67"/>
    </row>
    <row r="24" spans="1:16">
      <c r="A24" s="67"/>
    </row>
    <row r="25" spans="1:16">
      <c r="A25" s="67"/>
    </row>
    <row r="26" spans="1:16">
      <c r="A26" s="30" t="s">
        <v>35</v>
      </c>
    </row>
    <row r="27" spans="1:16">
      <c r="A27" s="30" t="s">
        <v>34</v>
      </c>
    </row>
    <row r="30" spans="1:16">
      <c r="A30" s="31" t="s">
        <v>28</v>
      </c>
      <c r="B30" s="32" t="s">
        <v>36</v>
      </c>
      <c r="C30" s="32" t="s">
        <v>37</v>
      </c>
    </row>
    <row r="31" spans="1:16">
      <c r="A31" s="17" t="s">
        <v>30</v>
      </c>
      <c r="B31" s="33">
        <f>$B$18/$J$18</f>
        <v>0.23122634066893796</v>
      </c>
      <c r="C31" s="34">
        <f>$B$18/$J$18</f>
        <v>0.23122634066893796</v>
      </c>
    </row>
    <row r="32" spans="1:16">
      <c r="A32" s="17" t="s">
        <v>29</v>
      </c>
      <c r="B32" s="33">
        <f>$D$18/$J$18</f>
        <v>0.34837410763911336</v>
      </c>
      <c r="C32" s="34">
        <f>$D$18/$J$18</f>
        <v>0.34837410763911336</v>
      </c>
    </row>
    <row r="33" spans="1:3">
      <c r="A33" s="17" t="s">
        <v>31</v>
      </c>
      <c r="B33" s="33">
        <f>$F$18/$J$18</f>
        <v>0.30471173265320245</v>
      </c>
      <c r="C33" s="34">
        <f>$F$18/$J$18</f>
        <v>0.30471173265320245</v>
      </c>
    </row>
    <row r="34" spans="1:3" ht="29.25">
      <c r="A34" s="35" t="s">
        <v>32</v>
      </c>
      <c r="B34" s="33">
        <f>$H$18/$J$18</f>
        <v>0.1156878190387462</v>
      </c>
      <c r="C34" s="34">
        <f>$H$18/$J$18</f>
        <v>0.1156878190387462</v>
      </c>
    </row>
    <row r="35" spans="1:3">
      <c r="A35" s="36" t="s">
        <v>38</v>
      </c>
      <c r="B35" s="65">
        <f>SUM(C31:C34)</f>
        <v>1</v>
      </c>
      <c r="C35" s="66"/>
    </row>
    <row r="36" spans="1:3">
      <c r="A36"/>
    </row>
    <row r="37" spans="1:3">
      <c r="A37" s="32" t="s">
        <v>42</v>
      </c>
      <c r="B37" s="32" t="s">
        <v>36</v>
      </c>
      <c r="C37" s="32" t="s">
        <v>37</v>
      </c>
    </row>
    <row r="38" spans="1:3">
      <c r="A38" s="35" t="s">
        <v>41</v>
      </c>
      <c r="B38" s="37">
        <f>J6/$J$18</f>
        <v>5.618744397598751E-2</v>
      </c>
      <c r="C38" s="38">
        <f>J6/$J$18</f>
        <v>5.618744397598751E-2</v>
      </c>
    </row>
    <row r="39" spans="1:3">
      <c r="A39" s="6" t="s">
        <v>20</v>
      </c>
      <c r="B39" s="37">
        <f t="shared" ref="B39:B49" si="1">J7/$J$18</f>
        <v>0.40640405916223682</v>
      </c>
      <c r="C39" s="38">
        <f t="shared" ref="C39:C49" si="2">J7/$J$18</f>
        <v>0.40640405916223682</v>
      </c>
    </row>
    <row r="40" spans="1:3" ht="28.5">
      <c r="A40" s="6" t="s">
        <v>13</v>
      </c>
      <c r="B40" s="37">
        <f t="shared" si="1"/>
        <v>9.4808252588184929E-4</v>
      </c>
      <c r="C40" s="38">
        <f t="shared" si="2"/>
        <v>9.4808252588184929E-4</v>
      </c>
    </row>
    <row r="41" spans="1:3" ht="28.5">
      <c r="A41" s="6" t="s">
        <v>14</v>
      </c>
      <c r="B41" s="37">
        <f t="shared" si="1"/>
        <v>9.3640862005013023E-2</v>
      </c>
      <c r="C41" s="38">
        <f t="shared" si="2"/>
        <v>9.3640862005013023E-2</v>
      </c>
    </row>
    <row r="42" spans="1:3">
      <c r="A42" s="6" t="s">
        <v>15</v>
      </c>
      <c r="B42" s="37">
        <f t="shared" si="1"/>
        <v>4.4040336529313452E-3</v>
      </c>
      <c r="C42" s="38">
        <f t="shared" si="2"/>
        <v>4.4040336529313452E-3</v>
      </c>
    </row>
    <row r="43" spans="1:3" ht="28.5">
      <c r="A43" s="6" t="s">
        <v>16</v>
      </c>
      <c r="B43" s="37">
        <f t="shared" si="1"/>
        <v>1.1455197522990462E-3</v>
      </c>
      <c r="C43" s="38">
        <f t="shared" si="2"/>
        <v>1.1455197522990462E-3</v>
      </c>
    </row>
    <row r="44" spans="1:3">
      <c r="A44" s="6" t="s">
        <v>17</v>
      </c>
      <c r="B44" s="37">
        <f t="shared" si="1"/>
        <v>2.9010637580300833E-3</v>
      </c>
      <c r="C44" s="38">
        <f t="shared" si="2"/>
        <v>2.9010637580300833E-3</v>
      </c>
    </row>
    <row r="45" spans="1:3">
      <c r="A45" s="6" t="s">
        <v>7</v>
      </c>
      <c r="B45" s="37">
        <f t="shared" si="1"/>
        <v>4.5632069211303857E-3</v>
      </c>
      <c r="C45" s="38">
        <f t="shared" si="2"/>
        <v>4.5632069211303857E-3</v>
      </c>
    </row>
    <row r="46" spans="1:3">
      <c r="A46" s="6" t="s">
        <v>8</v>
      </c>
      <c r="B46" s="37">
        <f t="shared" si="1"/>
        <v>1.2577926829955809E-2</v>
      </c>
      <c r="C46" s="38">
        <f t="shared" si="2"/>
        <v>1.2577926829955809E-2</v>
      </c>
    </row>
    <row r="47" spans="1:3">
      <c r="A47" s="6" t="s">
        <v>9</v>
      </c>
      <c r="B47" s="37">
        <f t="shared" si="1"/>
        <v>1.1334168263297296E-2</v>
      </c>
      <c r="C47" s="38">
        <f t="shared" si="2"/>
        <v>1.1334168263297296E-2</v>
      </c>
    </row>
    <row r="48" spans="1:3">
      <c r="A48" s="6" t="s">
        <v>10</v>
      </c>
      <c r="B48" s="37">
        <f t="shared" si="1"/>
        <v>0.38738183403989712</v>
      </c>
      <c r="C48" s="38">
        <f t="shared" si="2"/>
        <v>0.38738183403989712</v>
      </c>
    </row>
    <row r="49" spans="1:3">
      <c r="A49" s="6" t="s">
        <v>11</v>
      </c>
      <c r="B49" s="37">
        <f t="shared" si="1"/>
        <v>1.8511799113339722E-2</v>
      </c>
      <c r="C49" s="38">
        <f t="shared" si="2"/>
        <v>1.8511799113339722E-2</v>
      </c>
    </row>
    <row r="50" spans="1:3">
      <c r="A50" s="36" t="s">
        <v>38</v>
      </c>
      <c r="B50" s="65">
        <f>SUM(C38:C49)</f>
        <v>1</v>
      </c>
      <c r="C50" s="66"/>
    </row>
  </sheetData>
  <sortState xmlns:xlrd2="http://schemas.microsoft.com/office/spreadsheetml/2017/richdata2" ref="N6:O17">
    <sortCondition ref="O6:O17"/>
  </sortState>
  <mergeCells count="11">
    <mergeCell ref="B50:C50"/>
    <mergeCell ref="B35:C35"/>
    <mergeCell ref="A23:A25"/>
    <mergeCell ref="B19:K19"/>
    <mergeCell ref="A3:A5"/>
    <mergeCell ref="B3:K3"/>
    <mergeCell ref="B4:C4"/>
    <mergeCell ref="D4:E4"/>
    <mergeCell ref="F4:G4"/>
    <mergeCell ref="H4:I4"/>
    <mergeCell ref="J4:K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0CE0B-55E6-4DC5-A289-89F40CD8B466}">
  <dimension ref="A3:Y66"/>
  <sheetViews>
    <sheetView tabSelected="1" zoomScaleNormal="100" workbookViewId="0">
      <selection activeCell="K47" sqref="K47"/>
    </sheetView>
  </sheetViews>
  <sheetFormatPr defaultRowHeight="15"/>
  <cols>
    <col min="1" max="1" width="49.140625" style="1" customWidth="1"/>
    <col min="2" max="9" width="10.7109375" customWidth="1"/>
    <col min="10" max="11" width="12.5703125" customWidth="1"/>
    <col min="13" max="13" width="13.85546875" customWidth="1"/>
    <col min="14" max="14" width="12.5703125" customWidth="1"/>
    <col min="15" max="15" width="17.85546875" customWidth="1"/>
    <col min="16" max="16" width="43.5703125" style="1" customWidth="1"/>
    <col min="17" max="17" width="12" customWidth="1"/>
    <col min="18" max="18" width="11.140625" customWidth="1"/>
    <col min="19" max="19" width="12.42578125" customWidth="1"/>
    <col min="20" max="21" width="11.42578125" customWidth="1"/>
    <col min="23" max="23" width="11.85546875" customWidth="1"/>
    <col min="24" max="24" width="16.140625" customWidth="1"/>
    <col min="25" max="25" width="13.28515625" customWidth="1"/>
  </cols>
  <sheetData>
    <row r="3" spans="1:25" ht="30" customHeight="1">
      <c r="A3" s="53" t="s">
        <v>0</v>
      </c>
      <c r="B3" s="56">
        <v>2024</v>
      </c>
      <c r="C3" s="56"/>
      <c r="D3" s="56"/>
      <c r="E3" s="56"/>
      <c r="F3" s="56"/>
      <c r="G3" s="56"/>
      <c r="H3" s="56"/>
      <c r="I3" s="56"/>
      <c r="J3" s="56"/>
      <c r="K3" s="57"/>
      <c r="P3"/>
    </row>
    <row r="4" spans="1:25" ht="47.25" customHeight="1">
      <c r="A4" s="54"/>
      <c r="B4" s="58" t="s">
        <v>1</v>
      </c>
      <c r="C4" s="58"/>
      <c r="D4" s="59" t="s">
        <v>4</v>
      </c>
      <c r="E4" s="60"/>
      <c r="F4" s="61" t="s">
        <v>5</v>
      </c>
      <c r="G4" s="61"/>
      <c r="H4" s="62" t="s">
        <v>6</v>
      </c>
      <c r="I4" s="63"/>
      <c r="J4" s="62" t="s">
        <v>18</v>
      </c>
      <c r="K4" s="64"/>
      <c r="P4" s="50" t="s">
        <v>23</v>
      </c>
      <c r="Q4" s="50"/>
      <c r="R4" s="50"/>
      <c r="S4" s="50"/>
      <c r="T4" s="50"/>
      <c r="U4" s="50"/>
      <c r="V4" s="50"/>
      <c r="W4" s="50"/>
      <c r="X4" s="50"/>
      <c r="Y4" s="50"/>
    </row>
    <row r="5" spans="1:25" ht="33.75" customHeight="1">
      <c r="A5" s="55"/>
      <c r="B5" s="2" t="s">
        <v>2</v>
      </c>
      <c r="C5" s="2" t="s">
        <v>3</v>
      </c>
      <c r="D5" s="5" t="s">
        <v>2</v>
      </c>
      <c r="E5" s="3" t="s">
        <v>3</v>
      </c>
      <c r="F5" s="2" t="s">
        <v>2</v>
      </c>
      <c r="G5" s="2" t="s">
        <v>3</v>
      </c>
      <c r="H5" s="5" t="s">
        <v>2</v>
      </c>
      <c r="I5" s="3" t="s">
        <v>3</v>
      </c>
      <c r="J5" s="2" t="s">
        <v>2</v>
      </c>
      <c r="K5" s="4" t="s">
        <v>3</v>
      </c>
      <c r="M5" s="18" t="s">
        <v>24</v>
      </c>
      <c r="N5" s="18" t="s">
        <v>25</v>
      </c>
      <c r="O5" s="18" t="s">
        <v>26</v>
      </c>
      <c r="P5" s="18" t="s">
        <v>0</v>
      </c>
      <c r="Q5" s="51" t="s">
        <v>1</v>
      </c>
      <c r="R5" s="51"/>
      <c r="S5" s="51" t="s">
        <v>4</v>
      </c>
      <c r="T5" s="51"/>
      <c r="U5" s="51" t="s">
        <v>5</v>
      </c>
      <c r="V5" s="51"/>
      <c r="W5" s="52" t="s">
        <v>6</v>
      </c>
      <c r="X5" s="52"/>
      <c r="Y5" s="18" t="s">
        <v>18</v>
      </c>
    </row>
    <row r="6" spans="1:25" ht="34.5" customHeight="1">
      <c r="A6" s="6" t="s">
        <v>39</v>
      </c>
      <c r="B6" s="7">
        <v>302595</v>
      </c>
      <c r="C6" s="8">
        <v>21.53</v>
      </c>
      <c r="D6" s="7">
        <v>448041</v>
      </c>
      <c r="E6" s="9">
        <v>31.88</v>
      </c>
      <c r="F6" s="7">
        <v>392621</v>
      </c>
      <c r="G6" s="9">
        <v>27.94</v>
      </c>
      <c r="H6" s="7">
        <v>262018</v>
      </c>
      <c r="I6" s="9">
        <v>18.649999999999999</v>
      </c>
      <c r="J6" s="7">
        <f>B6+D6+F6+H6</f>
        <v>1405275</v>
      </c>
      <c r="K6" s="10">
        <v>100</v>
      </c>
      <c r="M6" s="7">
        <f>AVERAGE(J6:J17)</f>
        <v>2084206.75</v>
      </c>
      <c r="N6" s="17">
        <f>_xlfn.VAR.S(J6:J17)</f>
        <v>13903778619289.113</v>
      </c>
      <c r="O6" s="7">
        <f>_xlfn.STDEV.S(J6:J17)</f>
        <v>3728777.0943419388</v>
      </c>
      <c r="P6" s="6" t="s">
        <v>12</v>
      </c>
      <c r="Q6" s="47">
        <f>(B6-M6)/O6</f>
        <v>-0.47780055093757812</v>
      </c>
      <c r="R6" s="47"/>
      <c r="S6" s="47">
        <f>(D6-M6)/O6</f>
        <v>-0.43879419675762449</v>
      </c>
      <c r="T6" s="47"/>
      <c r="U6" s="47">
        <f>(F6-M6)/O6</f>
        <v>-0.45365697846803954</v>
      </c>
      <c r="V6" s="47"/>
      <c r="W6" s="47">
        <f>(H6-M6)/O6</f>
        <v>-0.48868267099285617</v>
      </c>
      <c r="X6" s="47"/>
      <c r="Y6" s="21">
        <f>STANDARDIZE(J6,$M$6,$O$6)</f>
        <v>-0.18207893173078479</v>
      </c>
    </row>
    <row r="7" spans="1:25" ht="30" customHeight="1">
      <c r="A7" s="6" t="s">
        <v>20</v>
      </c>
      <c r="B7" s="7">
        <v>2346601</v>
      </c>
      <c r="C7" s="9">
        <v>23.09</v>
      </c>
      <c r="D7" s="7">
        <v>3551598</v>
      </c>
      <c r="E7" s="9">
        <v>34.94</v>
      </c>
      <c r="F7" s="7">
        <v>3236558</v>
      </c>
      <c r="G7" s="9">
        <v>31.84</v>
      </c>
      <c r="H7" s="7">
        <v>1029604</v>
      </c>
      <c r="I7" s="9">
        <v>10.130000000000001</v>
      </c>
      <c r="J7" s="7">
        <f>B7+D7+F7+H7</f>
        <v>10164361</v>
      </c>
      <c r="K7" s="11">
        <v>100</v>
      </c>
      <c r="M7" s="19"/>
      <c r="N7" s="20"/>
      <c r="O7" s="19"/>
      <c r="P7" s="6" t="s">
        <v>20</v>
      </c>
      <c r="Q7" s="47">
        <f>STANDARDIZE(B7,$M$6,$O$6)</f>
        <v>7.0370055211441324E-2</v>
      </c>
      <c r="R7" s="47"/>
      <c r="S7" s="47">
        <f t="shared" ref="S7:S17" si="0">STANDARDIZE(D7,$M$6,$O$6)</f>
        <v>0.39353150184992963</v>
      </c>
      <c r="T7" s="47"/>
      <c r="U7" s="47">
        <f t="shared" ref="U7:U17" si="1">STANDARDIZE(F7,$M$6,$O$6)</f>
        <v>0.30904267561302667</v>
      </c>
      <c r="V7" s="47"/>
      <c r="W7" s="47">
        <f t="shared" ref="W7" si="2">STANDARDIZE(H7,$M$6,$O$6)</f>
        <v>-0.2828280487992319</v>
      </c>
      <c r="X7" s="47"/>
      <c r="Y7" s="21">
        <f t="shared" ref="Y7:Y17" si="3">STANDARDIZE(J7,$M$6,$O$6)</f>
        <v>2.1669716493004794</v>
      </c>
    </row>
    <row r="8" spans="1:25" ht="30" customHeight="1">
      <c r="A8" s="6" t="s">
        <v>13</v>
      </c>
      <c r="B8" s="7">
        <v>5388</v>
      </c>
      <c r="C8" s="9">
        <v>22.42</v>
      </c>
      <c r="D8" s="7">
        <v>14046</v>
      </c>
      <c r="E8" s="9">
        <v>58.46</v>
      </c>
      <c r="F8" s="7">
        <v>4278</v>
      </c>
      <c r="G8" s="9">
        <v>17.8</v>
      </c>
      <c r="H8" s="12" t="s">
        <v>19</v>
      </c>
      <c r="I8" s="13" t="s">
        <v>19</v>
      </c>
      <c r="J8" s="7">
        <f>B8+D8+F8</f>
        <v>23712</v>
      </c>
      <c r="K8" s="11">
        <v>100</v>
      </c>
      <c r="M8" s="19"/>
      <c r="N8" s="20"/>
      <c r="O8" s="19"/>
      <c r="P8" s="6" t="s">
        <v>13</v>
      </c>
      <c r="Q8" s="47">
        <f t="shared" ref="Q8:Q17" si="4">STANDARDIZE(B8,$M$6,$O$6)</f>
        <v>-0.55750684404128303</v>
      </c>
      <c r="R8" s="47"/>
      <c r="S8" s="47">
        <f t="shared" si="0"/>
        <v>-0.55518490315263691</v>
      </c>
      <c r="T8" s="47"/>
      <c r="U8" s="47">
        <f t="shared" si="1"/>
        <v>-0.55780452877059672</v>
      </c>
      <c r="V8" s="47"/>
      <c r="W8" s="47" t="s">
        <v>19</v>
      </c>
      <c r="X8" s="47"/>
      <c r="Y8" s="21">
        <f t="shared" si="3"/>
        <v>-0.552592632347641</v>
      </c>
    </row>
    <row r="9" spans="1:25" ht="30" customHeight="1">
      <c r="A9" s="6" t="s">
        <v>14</v>
      </c>
      <c r="B9" s="7">
        <v>348394</v>
      </c>
      <c r="C9" s="9">
        <v>14.88</v>
      </c>
      <c r="D9" s="7">
        <v>1010354</v>
      </c>
      <c r="E9" s="9">
        <v>43.14</v>
      </c>
      <c r="F9" s="7">
        <v>784437</v>
      </c>
      <c r="G9" s="9">
        <v>33.49</v>
      </c>
      <c r="H9" s="7">
        <v>198818</v>
      </c>
      <c r="I9" s="9">
        <v>8.49</v>
      </c>
      <c r="J9" s="7">
        <f>B9+D9+F9+H9</f>
        <v>2342003</v>
      </c>
      <c r="K9" s="11">
        <v>100</v>
      </c>
      <c r="M9" s="19">
        <v>5000000</v>
      </c>
      <c r="N9" s="20"/>
      <c r="O9" s="19"/>
      <c r="P9" s="6" t="s">
        <v>14</v>
      </c>
      <c r="Q9" s="47">
        <f>STANDARDIZE(B9,$M$6,$O$6)</f>
        <v>-0.4655179717323219</v>
      </c>
      <c r="R9" s="47"/>
      <c r="S9" s="47">
        <f t="shared" si="0"/>
        <v>-0.2879905992850762</v>
      </c>
      <c r="T9" s="47"/>
      <c r="U9" s="47">
        <f t="shared" si="1"/>
        <v>-0.34857802360250384</v>
      </c>
      <c r="V9" s="47"/>
      <c r="W9" s="47">
        <f t="shared" ref="W9:W17" si="5">STANDARDIZE(H9,$M$6,$O$6)</f>
        <v>-0.50563192765287479</v>
      </c>
      <c r="X9" s="47"/>
      <c r="Y9" s="21">
        <f t="shared" si="3"/>
        <v>6.9136943152536809E-2</v>
      </c>
    </row>
    <row r="10" spans="1:25" ht="30" customHeight="1">
      <c r="A10" s="6" t="s">
        <v>15</v>
      </c>
      <c r="B10" s="7">
        <v>21416</v>
      </c>
      <c r="C10" s="9">
        <v>19.440000000000001</v>
      </c>
      <c r="D10" s="7">
        <v>58864</v>
      </c>
      <c r="E10" s="9">
        <v>53.44</v>
      </c>
      <c r="F10" s="7">
        <v>24263</v>
      </c>
      <c r="G10" s="9">
        <v>22.03</v>
      </c>
      <c r="H10" s="7">
        <v>5604</v>
      </c>
      <c r="I10" s="9">
        <v>5.09</v>
      </c>
      <c r="J10" s="7">
        <f>B10+D10+F10+H10</f>
        <v>110147</v>
      </c>
      <c r="K10" s="11">
        <v>100</v>
      </c>
      <c r="M10" s="19"/>
      <c r="N10" s="20"/>
      <c r="O10" s="19"/>
      <c r="P10" s="6" t="s">
        <v>15</v>
      </c>
      <c r="Q10" s="47">
        <f t="shared" si="4"/>
        <v>-0.5532083838237708</v>
      </c>
      <c r="R10" s="47"/>
      <c r="S10" s="47">
        <f t="shared" si="0"/>
        <v>-0.54316541288382814</v>
      </c>
      <c r="T10" s="47"/>
      <c r="U10" s="47">
        <f t="shared" si="1"/>
        <v>-0.55244486272074744</v>
      </c>
      <c r="V10" s="47"/>
      <c r="W10" s="47">
        <f t="shared" si="5"/>
        <v>-0.55744891620206527</v>
      </c>
      <c r="X10" s="47"/>
      <c r="Y10" s="21">
        <f t="shared" si="3"/>
        <v>-0.52941211020509815</v>
      </c>
    </row>
    <row r="11" spans="1:25" ht="30" customHeight="1">
      <c r="A11" s="6" t="s">
        <v>16</v>
      </c>
      <c r="B11" s="7">
        <v>6825</v>
      </c>
      <c r="C11" s="9">
        <v>23.82</v>
      </c>
      <c r="D11" s="7">
        <v>12877</v>
      </c>
      <c r="E11" s="9">
        <v>44.95</v>
      </c>
      <c r="F11" s="7">
        <v>8948</v>
      </c>
      <c r="G11" s="9">
        <v>31.23</v>
      </c>
      <c r="H11" s="12" t="s">
        <v>19</v>
      </c>
      <c r="I11" s="13" t="s">
        <v>19</v>
      </c>
      <c r="J11" s="7">
        <f>B11+D11+F11</f>
        <v>28650</v>
      </c>
      <c r="K11" s="11">
        <v>100</v>
      </c>
      <c r="M11" s="19"/>
      <c r="N11" s="20"/>
      <c r="O11" s="19"/>
      <c r="P11" s="6" t="s">
        <v>16</v>
      </c>
      <c r="Q11" s="47">
        <f t="shared" si="4"/>
        <v>-0.55712146299982035</v>
      </c>
      <c r="R11" s="47"/>
      <c r="S11" s="47">
        <f t="shared" si="0"/>
        <v>-0.55549841076395901</v>
      </c>
      <c r="T11" s="47"/>
      <c r="U11" s="47">
        <f t="shared" si="1"/>
        <v>-0.55655210743195294</v>
      </c>
      <c r="V11" s="47"/>
      <c r="W11" s="47" t="s">
        <v>19</v>
      </c>
      <c r="X11" s="47"/>
      <c r="Y11" s="21">
        <f t="shared" si="3"/>
        <v>-0.55126833757885663</v>
      </c>
    </row>
    <row r="12" spans="1:25" ht="30" customHeight="1">
      <c r="A12" s="6" t="s">
        <v>17</v>
      </c>
      <c r="B12" s="7">
        <v>9516</v>
      </c>
      <c r="C12" s="9">
        <v>13.11</v>
      </c>
      <c r="D12" s="7">
        <v>32212</v>
      </c>
      <c r="E12" s="9">
        <v>44.4</v>
      </c>
      <c r="F12" s="7">
        <v>23341</v>
      </c>
      <c r="G12" s="9">
        <v>32.17</v>
      </c>
      <c r="H12" s="7">
        <v>7488</v>
      </c>
      <c r="I12" s="9">
        <v>10.32</v>
      </c>
      <c r="J12" s="7">
        <f t="shared" ref="J12:J17" si="6">B12+D12+F12+H12</f>
        <v>72557</v>
      </c>
      <c r="K12" s="11">
        <v>100</v>
      </c>
      <c r="M12" s="19"/>
      <c r="N12" s="20"/>
      <c r="O12" s="19"/>
      <c r="P12" s="6" t="s">
        <v>17</v>
      </c>
      <c r="Q12" s="47">
        <f t="shared" si="4"/>
        <v>-0.55639977866956536</v>
      </c>
      <c r="R12" s="47"/>
      <c r="S12" s="47">
        <f t="shared" si="0"/>
        <v>-0.55031306460064477</v>
      </c>
      <c r="T12" s="47"/>
      <c r="U12" s="47">
        <f t="shared" si="1"/>
        <v>-0.55269212877518636</v>
      </c>
      <c r="V12" s="47"/>
      <c r="W12" s="47">
        <f t="shared" si="5"/>
        <v>-0.55694365671555457</v>
      </c>
      <c r="X12" s="47"/>
      <c r="Y12" s="21">
        <f t="shared" si="3"/>
        <v>-0.53949316333563768</v>
      </c>
    </row>
    <row r="13" spans="1:25" ht="30" customHeight="1">
      <c r="A13" s="6" t="s">
        <v>7</v>
      </c>
      <c r="B13" s="7">
        <v>26152</v>
      </c>
      <c r="C13" s="9">
        <v>22.91</v>
      </c>
      <c r="D13" s="7">
        <v>44128</v>
      </c>
      <c r="E13" s="9">
        <v>38.67</v>
      </c>
      <c r="F13" s="7">
        <v>37842</v>
      </c>
      <c r="G13" s="9">
        <v>33.159999999999997</v>
      </c>
      <c r="H13" s="7">
        <v>6006</v>
      </c>
      <c r="I13" s="9">
        <v>5.26</v>
      </c>
      <c r="J13" s="7">
        <f t="shared" si="6"/>
        <v>114128</v>
      </c>
      <c r="K13" s="11">
        <v>100</v>
      </c>
      <c r="M13" s="19"/>
      <c r="N13" s="20"/>
      <c r="O13" s="19"/>
      <c r="P13" s="6" t="s">
        <v>7</v>
      </c>
      <c r="Q13" s="47">
        <f t="shared" si="4"/>
        <v>-0.55193826231203269</v>
      </c>
      <c r="R13" s="47"/>
      <c r="S13" s="47">
        <f t="shared" si="0"/>
        <v>-0.54711737880379696</v>
      </c>
      <c r="T13" s="47"/>
      <c r="U13" s="47">
        <f t="shared" si="1"/>
        <v>-0.54880318619881086</v>
      </c>
      <c r="V13" s="47"/>
      <c r="W13" s="47">
        <f t="shared" si="5"/>
        <v>-0.55734110605685439</v>
      </c>
      <c r="X13" s="47"/>
      <c r="Y13" s="21">
        <f t="shared" si="3"/>
        <v>-0.5283444679461814</v>
      </c>
    </row>
    <row r="14" spans="1:25" ht="30" customHeight="1">
      <c r="A14" s="6" t="s">
        <v>8</v>
      </c>
      <c r="B14" s="7">
        <v>96360</v>
      </c>
      <c r="C14" s="9">
        <v>30.63</v>
      </c>
      <c r="D14" s="7">
        <v>131893</v>
      </c>
      <c r="E14" s="9">
        <v>41.93</v>
      </c>
      <c r="F14" s="7">
        <v>65020</v>
      </c>
      <c r="G14" s="9">
        <v>20.67</v>
      </c>
      <c r="H14" s="7">
        <v>21307</v>
      </c>
      <c r="I14" s="9">
        <v>6.77</v>
      </c>
      <c r="J14" s="7">
        <f t="shared" si="6"/>
        <v>314580</v>
      </c>
      <c r="K14" s="11">
        <v>100</v>
      </c>
      <c r="M14" s="19"/>
      <c r="N14" s="20"/>
      <c r="O14" s="19"/>
      <c r="P14" s="6" t="s">
        <v>8</v>
      </c>
      <c r="Q14" s="47">
        <f t="shared" si="4"/>
        <v>-0.53310956909072593</v>
      </c>
      <c r="R14" s="47"/>
      <c r="S14" s="47">
        <f t="shared" si="0"/>
        <v>-0.52358017135495938</v>
      </c>
      <c r="T14" s="47"/>
      <c r="U14" s="47">
        <f t="shared" si="1"/>
        <v>-0.54151446946612125</v>
      </c>
      <c r="V14" s="47"/>
      <c r="W14" s="47">
        <f t="shared" si="5"/>
        <v>-0.5532376159278205</v>
      </c>
      <c r="X14" s="47"/>
      <c r="Y14" s="21">
        <f t="shared" si="3"/>
        <v>-0.47458636041431351</v>
      </c>
    </row>
    <row r="15" spans="1:25" ht="30" customHeight="1">
      <c r="A15" s="6" t="s">
        <v>9</v>
      </c>
      <c r="B15" s="7">
        <v>86835</v>
      </c>
      <c r="C15" s="9">
        <v>30.63</v>
      </c>
      <c r="D15" s="7">
        <v>108826</v>
      </c>
      <c r="E15" s="9">
        <v>38.39</v>
      </c>
      <c r="F15" s="7">
        <v>67740</v>
      </c>
      <c r="G15" s="9">
        <v>23.9</v>
      </c>
      <c r="H15" s="7">
        <v>20072</v>
      </c>
      <c r="I15" s="9">
        <v>7.08</v>
      </c>
      <c r="J15" s="7">
        <f t="shared" si="6"/>
        <v>283473</v>
      </c>
      <c r="K15" s="11">
        <v>100</v>
      </c>
      <c r="M15" s="19"/>
      <c r="N15" s="20"/>
      <c r="O15" s="19"/>
      <c r="P15" s="6" t="s">
        <v>9</v>
      </c>
      <c r="Q15" s="47">
        <f t="shared" si="4"/>
        <v>-0.53566402588956574</v>
      </c>
      <c r="R15" s="47"/>
      <c r="S15" s="47">
        <f t="shared" si="0"/>
        <v>-0.52976638185142544</v>
      </c>
      <c r="T15" s="47"/>
      <c r="U15" s="47">
        <f t="shared" si="1"/>
        <v>-0.54078500778708238</v>
      </c>
      <c r="V15" s="47"/>
      <c r="W15" s="47">
        <f t="shared" si="5"/>
        <v>-0.55356882371223703</v>
      </c>
      <c r="X15" s="47"/>
      <c r="Y15" s="21">
        <f t="shared" si="3"/>
        <v>-0.48292877381499705</v>
      </c>
    </row>
    <row r="16" spans="1:25" ht="30" customHeight="1">
      <c r="A16" s="6" t="s">
        <v>10</v>
      </c>
      <c r="B16" s="7">
        <v>2451997</v>
      </c>
      <c r="C16" s="9">
        <v>25.31</v>
      </c>
      <c r="D16" s="7">
        <v>3159292</v>
      </c>
      <c r="E16" s="9">
        <v>32.61</v>
      </c>
      <c r="F16" s="7">
        <v>2796727</v>
      </c>
      <c r="G16" s="9">
        <v>28.86</v>
      </c>
      <c r="H16" s="7">
        <v>1280590</v>
      </c>
      <c r="I16" s="9">
        <v>13.22</v>
      </c>
      <c r="J16" s="7">
        <f t="shared" si="6"/>
        <v>9688606</v>
      </c>
      <c r="K16" s="11">
        <v>100</v>
      </c>
      <c r="M16" s="19"/>
      <c r="N16" s="20"/>
      <c r="O16" s="19"/>
      <c r="P16" s="6" t="s">
        <v>10</v>
      </c>
      <c r="Q16" s="47">
        <f t="shared" si="4"/>
        <v>9.8635622536430614E-2</v>
      </c>
      <c r="R16" s="47"/>
      <c r="S16" s="47">
        <f t="shared" si="0"/>
        <v>0.28832113660839065</v>
      </c>
      <c r="T16" s="47"/>
      <c r="U16" s="47">
        <f t="shared" si="1"/>
        <v>0.19108684482137081</v>
      </c>
      <c r="V16" s="47"/>
      <c r="W16" s="47">
        <f t="shared" si="5"/>
        <v>-0.21551750873481046</v>
      </c>
      <c r="X16" s="47"/>
      <c r="Y16" s="21">
        <f t="shared" si="3"/>
        <v>2.039381560656695</v>
      </c>
    </row>
    <row r="17" spans="1:25" ht="30" customHeight="1">
      <c r="A17" s="6" t="s">
        <v>11</v>
      </c>
      <c r="B17" s="7">
        <v>81003</v>
      </c>
      <c r="C17" s="9">
        <v>17.489999999999998</v>
      </c>
      <c r="D17" s="7">
        <v>140873</v>
      </c>
      <c r="E17" s="9">
        <v>30.43</v>
      </c>
      <c r="F17" s="7">
        <v>179212</v>
      </c>
      <c r="G17" s="9">
        <v>38.71</v>
      </c>
      <c r="H17" s="7">
        <v>61901</v>
      </c>
      <c r="I17" s="9">
        <v>13.37</v>
      </c>
      <c r="J17" s="7">
        <f t="shared" si="6"/>
        <v>462989</v>
      </c>
      <c r="K17" s="11">
        <v>100</v>
      </c>
      <c r="M17" s="19"/>
      <c r="N17" s="20"/>
      <c r="O17" s="19"/>
      <c r="P17" s="6" t="s">
        <v>11</v>
      </c>
      <c r="Q17" s="47">
        <f t="shared" si="4"/>
        <v>-0.53722807754844593</v>
      </c>
      <c r="R17" s="47"/>
      <c r="S17" s="47">
        <f t="shared" si="0"/>
        <v>-0.5211718750763682</v>
      </c>
      <c r="T17" s="47"/>
      <c r="U17" s="47">
        <f t="shared" si="1"/>
        <v>-0.51088995179965213</v>
      </c>
      <c r="V17" s="47"/>
      <c r="W17" s="47">
        <f t="shared" si="5"/>
        <v>-0.54235093673704837</v>
      </c>
      <c r="X17" s="47"/>
      <c r="Y17" s="21">
        <f t="shared" si="3"/>
        <v>-0.43478537573620107</v>
      </c>
    </row>
    <row r="18" spans="1:25">
      <c r="A18" s="26" t="s">
        <v>18</v>
      </c>
      <c r="B18" s="14">
        <f>SUM(B6:B17)</f>
        <v>5783082</v>
      </c>
      <c r="C18" s="15">
        <v>23.12</v>
      </c>
      <c r="D18" s="14">
        <f>SUM(D6:D17)</f>
        <v>8713004</v>
      </c>
      <c r="E18" s="15">
        <v>34.840000000000003</v>
      </c>
      <c r="F18" s="14">
        <f>SUM(F6:F17)</f>
        <v>7620987</v>
      </c>
      <c r="G18" s="15">
        <v>30.47</v>
      </c>
      <c r="H18" s="14">
        <f>SUM(H6:H17)</f>
        <v>2893408</v>
      </c>
      <c r="I18" s="15">
        <v>11.57</v>
      </c>
      <c r="J18" s="14">
        <f>SUM(J6:J17)</f>
        <v>25010481</v>
      </c>
      <c r="K18" s="16">
        <v>100</v>
      </c>
      <c r="P18"/>
    </row>
    <row r="19" spans="1:25">
      <c r="A19" s="1" t="s">
        <v>21</v>
      </c>
      <c r="B19" s="48" t="s">
        <v>22</v>
      </c>
      <c r="C19" s="48"/>
      <c r="D19" s="48"/>
      <c r="E19" s="48"/>
      <c r="F19" s="48"/>
      <c r="G19" s="48"/>
      <c r="H19" s="48"/>
      <c r="I19" s="48"/>
      <c r="J19" s="48"/>
      <c r="K19" s="48"/>
    </row>
    <row r="22" spans="1:25">
      <c r="A22" s="1" t="s">
        <v>43</v>
      </c>
    </row>
    <row r="23" spans="1:25" ht="90">
      <c r="A23" s="39" t="s">
        <v>53</v>
      </c>
      <c r="B23" s="40"/>
    </row>
    <row r="24" spans="1:25">
      <c r="A24" s="39"/>
      <c r="B24" s="40"/>
    </row>
    <row r="25" spans="1:25">
      <c r="A25" s="39"/>
      <c r="B25" s="40"/>
    </row>
    <row r="26" spans="1:25">
      <c r="A26" s="39" t="s">
        <v>48</v>
      </c>
      <c r="B26" s="40"/>
    </row>
    <row r="27" spans="1:25">
      <c r="A27" s="49"/>
      <c r="B27" s="40"/>
    </row>
    <row r="28" spans="1:25">
      <c r="A28" s="49"/>
      <c r="B28" s="40"/>
    </row>
    <row r="29" spans="1:25">
      <c r="A29" s="39"/>
      <c r="B29" s="40"/>
      <c r="C29" s="23"/>
    </row>
    <row r="30" spans="1:25">
      <c r="A30" s="43" t="s">
        <v>44</v>
      </c>
      <c r="B30" s="40">
        <f>AVERAGE(J6:J17)</f>
        <v>2084206.75</v>
      </c>
      <c r="C30" s="23"/>
    </row>
    <row r="31" spans="1:25">
      <c r="A31" s="43" t="s">
        <v>45</v>
      </c>
      <c r="B31" s="40">
        <f>_xlfn.STDEV.S(J6:J17)</f>
        <v>3728777.0943419388</v>
      </c>
      <c r="C31" s="23"/>
    </row>
    <row r="32" spans="1:25">
      <c r="A32" s="43" t="s">
        <v>46</v>
      </c>
      <c r="B32" s="40">
        <v>5000000</v>
      </c>
      <c r="C32" s="23"/>
    </row>
    <row r="33" spans="1:4">
      <c r="A33" s="39"/>
      <c r="B33" s="40"/>
      <c r="C33" s="23"/>
    </row>
    <row r="34" spans="1:4">
      <c r="A34" s="39" t="s">
        <v>47</v>
      </c>
      <c r="B34" s="44">
        <f>(B32-B30)/B31</f>
        <v>0.78197038230695959</v>
      </c>
      <c r="C34" s="23"/>
    </row>
    <row r="35" spans="1:4">
      <c r="A35" s="41" t="s">
        <v>51</v>
      </c>
      <c r="B35" s="40"/>
      <c r="C35" s="23"/>
    </row>
    <row r="36" spans="1:4">
      <c r="B36" s="40"/>
      <c r="C36" s="23"/>
    </row>
    <row r="37" spans="1:4" ht="45">
      <c r="A37" s="42" t="s">
        <v>52</v>
      </c>
      <c r="B37" s="45">
        <f>_xlfn.NORM.S.DIST(B34,TRUE)</f>
        <v>0.7828840100726363</v>
      </c>
      <c r="C37" s="46">
        <f>_xlfn.NORM.S.DIST(B34,TRUE)</f>
        <v>0.7828840100726363</v>
      </c>
      <c r="D37" s="42"/>
    </row>
    <row r="38" spans="1:4">
      <c r="B38" s="40"/>
      <c r="C38" s="23"/>
    </row>
    <row r="39" spans="1:4" ht="60">
      <c r="A39" s="42" t="s">
        <v>49</v>
      </c>
      <c r="C39" s="23"/>
    </row>
    <row r="40" spans="1:4">
      <c r="A40" s="39" t="s">
        <v>50</v>
      </c>
      <c r="B40" s="40"/>
      <c r="C40" s="23"/>
    </row>
    <row r="41" spans="1:4">
      <c r="A41" s="39" t="s">
        <v>55</v>
      </c>
      <c r="B41" s="40"/>
      <c r="C41" s="23"/>
    </row>
    <row r="42" spans="1:4">
      <c r="A42" s="39"/>
      <c r="B42" s="40"/>
      <c r="C42" s="23"/>
    </row>
    <row r="43" spans="1:4" ht="30">
      <c r="A43" s="42" t="s">
        <v>54</v>
      </c>
      <c r="B43" s="40"/>
    </row>
    <row r="44" spans="1:4">
      <c r="B44" s="40"/>
    </row>
    <row r="45" spans="1:4">
      <c r="B45" s="40"/>
    </row>
    <row r="46" spans="1:4">
      <c r="B46" s="40"/>
    </row>
    <row r="47" spans="1:4">
      <c r="A47" s="39"/>
      <c r="B47" s="40"/>
    </row>
    <row r="48" spans="1:4">
      <c r="A48" s="39"/>
      <c r="B48" s="40"/>
    </row>
    <row r="49" spans="1:3">
      <c r="A49" s="39"/>
      <c r="B49" s="40"/>
      <c r="C49" s="40"/>
    </row>
    <row r="50" spans="1:3">
      <c r="A50" s="39"/>
      <c r="B50" s="40"/>
      <c r="C50" s="40"/>
    </row>
    <row r="51" spans="1:3">
      <c r="A51" s="39"/>
      <c r="B51" s="40"/>
      <c r="C51" s="40"/>
    </row>
    <row r="52" spans="1:3">
      <c r="A52" s="39"/>
      <c r="B52" s="40"/>
      <c r="C52" s="40"/>
    </row>
    <row r="53" spans="1:3">
      <c r="A53" s="39"/>
      <c r="B53" s="40"/>
      <c r="C53" s="40"/>
    </row>
    <row r="54" spans="1:3">
      <c r="A54" s="39"/>
      <c r="B54" s="40"/>
      <c r="C54" s="40"/>
    </row>
    <row r="55" spans="1:3">
      <c r="A55" s="39"/>
      <c r="B55" s="40"/>
      <c r="C55" s="40"/>
    </row>
    <row r="56" spans="1:3">
      <c r="A56" s="39"/>
      <c r="B56" s="40"/>
      <c r="C56" s="40"/>
    </row>
    <row r="57" spans="1:3">
      <c r="A57" s="39"/>
      <c r="B57" s="40"/>
      <c r="C57" s="40"/>
    </row>
    <row r="58" spans="1:3">
      <c r="A58" s="39"/>
      <c r="B58" s="40"/>
      <c r="C58" s="40"/>
    </row>
    <row r="59" spans="1:3">
      <c r="A59" s="39"/>
      <c r="B59" s="40"/>
      <c r="C59" s="40"/>
    </row>
    <row r="60" spans="1:3">
      <c r="A60" s="39"/>
      <c r="B60" s="40"/>
      <c r="C60" s="40"/>
    </row>
    <row r="61" spans="1:3">
      <c r="A61" s="39"/>
      <c r="B61" s="40"/>
      <c r="C61" s="40"/>
    </row>
    <row r="62" spans="1:3">
      <c r="A62" s="39"/>
      <c r="B62" s="40"/>
      <c r="C62" s="40"/>
    </row>
    <row r="63" spans="1:3">
      <c r="A63" s="39"/>
      <c r="B63" s="40"/>
      <c r="C63" s="40"/>
    </row>
    <row r="64" spans="1:3">
      <c r="A64" s="39"/>
    </row>
    <row r="65" spans="1:1">
      <c r="A65" s="39"/>
    </row>
    <row r="66" spans="1:1">
      <c r="A66" s="39"/>
    </row>
  </sheetData>
  <mergeCells count="62">
    <mergeCell ref="Q6:R6"/>
    <mergeCell ref="S6:T6"/>
    <mergeCell ref="U6:V6"/>
    <mergeCell ref="W6:X6"/>
    <mergeCell ref="A3:A5"/>
    <mergeCell ref="B3:K3"/>
    <mergeCell ref="B4:C4"/>
    <mergeCell ref="D4:E4"/>
    <mergeCell ref="F4:G4"/>
    <mergeCell ref="H4:I4"/>
    <mergeCell ref="J4:K4"/>
    <mergeCell ref="P4:Y4"/>
    <mergeCell ref="Q5:R5"/>
    <mergeCell ref="S5:T5"/>
    <mergeCell ref="U5:V5"/>
    <mergeCell ref="W5:X5"/>
    <mergeCell ref="Q7:R7"/>
    <mergeCell ref="S7:T7"/>
    <mergeCell ref="U7:V7"/>
    <mergeCell ref="W7:X7"/>
    <mergeCell ref="Q8:R8"/>
    <mergeCell ref="S8:T8"/>
    <mergeCell ref="U8:V8"/>
    <mergeCell ref="W8:X8"/>
    <mergeCell ref="Q9:R9"/>
    <mergeCell ref="S9:T9"/>
    <mergeCell ref="U9:V9"/>
    <mergeCell ref="W9:X9"/>
    <mergeCell ref="Q10:R10"/>
    <mergeCell ref="S10:T10"/>
    <mergeCell ref="U10:V10"/>
    <mergeCell ref="W10:X10"/>
    <mergeCell ref="Q11:R11"/>
    <mergeCell ref="S11:T11"/>
    <mergeCell ref="U11:V11"/>
    <mergeCell ref="W11:X11"/>
    <mergeCell ref="Q12:R12"/>
    <mergeCell ref="S12:T12"/>
    <mergeCell ref="U12:V12"/>
    <mergeCell ref="W12:X12"/>
    <mergeCell ref="Q13:R13"/>
    <mergeCell ref="S13:T13"/>
    <mergeCell ref="U13:V13"/>
    <mergeCell ref="W13:X13"/>
    <mergeCell ref="Q14:R14"/>
    <mergeCell ref="S14:T14"/>
    <mergeCell ref="U14:V14"/>
    <mergeCell ref="W14:X14"/>
    <mergeCell ref="A27:A28"/>
    <mergeCell ref="Q15:R15"/>
    <mergeCell ref="S15:T15"/>
    <mergeCell ref="U15:V15"/>
    <mergeCell ref="W15:X15"/>
    <mergeCell ref="Q16:R16"/>
    <mergeCell ref="S16:T16"/>
    <mergeCell ref="U16:V16"/>
    <mergeCell ref="W16:X16"/>
    <mergeCell ref="Q17:R17"/>
    <mergeCell ref="S17:T17"/>
    <mergeCell ref="U17:V17"/>
    <mergeCell ref="W17:X17"/>
    <mergeCell ref="B19:K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BPS</vt:lpstr>
      <vt:lpstr>Teori Peluang</vt:lpstr>
      <vt:lpstr>Analisis Kasus Dist Peluang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Marcellino Anggawijaya</dc:creator>
  <cp:lastModifiedBy>Marcellino Anggawijaya</cp:lastModifiedBy>
  <dcterms:created xsi:type="dcterms:W3CDTF">2026-04-03T10:52:14Z</dcterms:created>
  <dcterms:modified xsi:type="dcterms:W3CDTF">2026-04-05T13:24:55Z</dcterms:modified>
</cp:coreProperties>
</file>